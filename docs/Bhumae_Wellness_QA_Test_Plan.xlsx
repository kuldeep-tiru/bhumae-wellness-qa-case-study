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Execution Plan" sheetId="2" state="visible" r:id="rId4"/>
    <sheet name="Coverage" sheetId="3" state="visible" r:id="rId5"/>
    <sheet name="Functional Testing" sheetId="4" state="visible" r:id="rId6"/>
    <sheet name="Regression" sheetId="5" state="visible" r:id="rId7"/>
  </sheets>
  <definedNames>
    <definedName function="false" hidden="true" localSheetId="3" name="_xlnm._FilterDatabase" vbProcedure="false">'Functional Testing'!$A$1:$N$349</definedName>
    <definedName function="false" hidden="true" localSheetId="4" name="_xlnm._FilterDatabase" vbProcedure="false">Regression!$A$1:$H$62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<sst xmlns="http://schemas.openxmlformats.org/spreadsheetml/2006/main" count="2478" uniqueCount="1140">
  <si>
    <t xml:space="preserve">Project Name/ Number</t>
  </si>
  <si>
    <t xml:space="preserve">Bhumae Wellness</t>
  </si>
  <si>
    <t xml:space="preserve">Test Case Authorizing Date</t>
  </si>
  <si>
    <t xml:space="preserve">Application</t>
  </si>
  <si>
    <t xml:space="preserve">Bhumae Wellness e-commerce website (bhumaewellness.com)</t>
  </si>
  <si>
    <t xml:space="preserve">Authorizing Effort</t>
  </si>
  <si>
    <t xml:space="preserve">8 hrs</t>
  </si>
  <si>
    <t xml:space="preserve">Execution Effort</t>
  </si>
  <si>
    <t xml:space="preserve">22.5 hrs</t>
  </si>
  <si>
    <t xml:space="preserve">Plan Author</t>
  </si>
  <si>
    <t xml:space="preserve">Kuldeep Tiru</t>
  </si>
  <si>
    <t xml:space="preserve">Test Execution Date</t>
  </si>
  <si>
    <t xml:space="preserve">10 to 13 Oct</t>
  </si>
  <si>
    <t xml:space="preserve">Version</t>
  </si>
  <si>
    <t xml:space="preserve">Version 1</t>
  </si>
  <si>
    <t xml:space="preserve">Environment</t>
  </si>
  <si>
    <t xml:space="preserve">Production (live site)</t>
  </si>
  <si>
    <t xml:space="preserve">Actual Time</t>
  </si>
  <si>
    <t xml:space="preserve">30 hrs</t>
  </si>
  <si>
    <t xml:space="preserve">Test Executed By</t>
  </si>
  <si>
    <t xml:space="preserve">Test Status</t>
  </si>
  <si>
    <t xml:space="preserve">Executed, pending review</t>
  </si>
  <si>
    <t xml:space="preserve">Scope</t>
  </si>
  <si>
    <t xml:space="preserve">Entire website: storefront (home, collection, product, bag, checkout, PIN code, discounts, COD), emails, order tracking, account, policy and contact pages, admin (orders, invoice, products, discounts, content), plus responsive, compatibility, accessibility, performance and basic security checks. Includes the client plan (35 checks S1-S14, T1-T6, A1-A11, D1-D4) and added cases.</t>
  </si>
  <si>
    <t xml:space="preserve">Test Purpose or Objective</t>
  </si>
  <si>
    <t xml:space="preserve">Confirm the site is ready for launch on Oct 12, 2026. Complete execution by Oct 11, 2026 and report defects with device, browser, URL, steps, actual vs expected and evidence.</t>
  </si>
  <si>
    <t xml:space="preserve">Set Up Requirements or Considerations</t>
  </si>
  <si>
    <t xml:space="preserve">Android phone (Chrome), iPhone (Safari), desktop (Chrome or Edge, Firefox), Mac Safari if available. Own name, mobile and email on test orders. Admin password shared separately.</t>
  </si>
  <si>
    <t xml:space="preserve">Notes or Special Instructions</t>
  </si>
  <si>
    <t xml:space="preserve">Every order is real in the system. Cancel each test order in admin and note its BHU reference. Do NOT click Ship via courier partner. Restore any price, stock or photo that is edited. Create discount codes (ADM_010) before DISC_001.</t>
  </si>
  <si>
    <t xml:space="preserve">Database Changes</t>
  </si>
  <si>
    <t xml:space="preserve">Test data created during execution was cleaned up after testing.</t>
  </si>
  <si>
    <t xml:space="preserve">Hardware or Network</t>
  </si>
  <si>
    <t xml:space="preserve">Android, iPhone, desktop and Mac browsers; Wi-Fi and mobile data; Chrome DevTools and Lighthouse.</t>
  </si>
  <si>
    <t xml:space="preserve">Items not included in test</t>
  </si>
  <si>
    <t xml:space="preserve">Online payment (payment gateway), customer sign-in by SMS, Ship via courier partner, shipping labels, live courier tracking (client excluded). Load testing, penetration testing, database access.</t>
  </si>
  <si>
    <t xml:space="preserve">Assumptions</t>
  </si>
  <si>
    <t xml:space="preserve">Business rules agreed with the client at the start: free-shipping threshold, quantity cap, COD limit and GST-inclusive pricing.</t>
  </si>
  <si>
    <t xml:space="preserve">Work Sheets in Test plan</t>
  </si>
  <si>
    <t xml:space="preserve">All the projects should have Functional testing, Regression Testing work sheets. New work sheets can be added in case of the testing multiple modules/applications/roles/permissions</t>
  </si>
  <si>
    <t xml:space="preserve">Defect List</t>
  </si>
  <si>
    <t xml:space="preserve">All the defects should be tracked in the test plan.</t>
  </si>
  <si>
    <t xml:space="preserve">Phase</t>
  </si>
  <si>
    <t xml:space="preserve">When</t>
  </si>
  <si>
    <t xml:space="preserve">Test Case Ids</t>
  </si>
  <si>
    <t xml:space="preserve">Dependency and notes</t>
  </si>
  <si>
    <t xml:space="preserve">Est. hours</t>
  </si>
  <si>
    <t xml:space="preserve">0. Setup</t>
  </si>
  <si>
    <t xml:space="preserve">Oct 10</t>
  </si>
  <si>
    <t xml:space="preserve">ADM_001, ADM_010, PIN_012</t>
  </si>
  <si>
    <t xml:space="preserve">Get admin password and devices ready. Record every product price, MRP, stock and photo before editing anything (baseline stock 24, 24, 25, 25, 25). Create discount codes first (needed by DISC_001, DISC_002, DISC_003). Prepare a folder for screenshots.</t>
  </si>
  <si>
    <t xml:space="preserve">1. Storefront on desktop</t>
  </si>
  <si>
    <t xml:space="preserve">HOME_001, HOME_002, COLL_001, COLL_002, PDP_001, PDP_002, BAG_001, BAG_002, BAG_003, BAG_004, BAG_007, CHK_001, CHK_002, CHK_003, PIN_001, PIN_002, PIN_003, PAY_001, PAY_002, DISC_001, DISC_002, DISC_003, DISC_004, COLL_003, COLL_004, PDP_006, PDP_007, PDP_008, PDP_009, BAG_010, BAG_011, PAY_003, NAV_006, NAV_007, NAV_008</t>
  </si>
  <si>
    <t xml:space="preserve">No orders placed yet. Use PIN data from the client table.</t>
  </si>
  <si>
    <t xml:space="preserve">2. Order, emails, tracking, invoice</t>
  </si>
  <si>
    <t xml:space="preserve">ORD_001 (also place one order to 110001), CHK_010, ORD_002, ORD_003, CHK_004, EML_001, EML_002, EML_003, TRK_001, TRK_002, TRK_003, TRK_004, ADM_002, ADM_003, ADM_017, ADM_004, then ADM_005</t>
  </si>
  <si>
    <t xml:space="preserve">Needs the S11 order. Cancel (ADM_005) only after invoice, tracking and email checks are finished. Write BHU references in Notes.</t>
  </si>
  <si>
    <t xml:space="preserve">3. Admin and stock</t>
  </si>
  <si>
    <t xml:space="preserve">Oct 10 late or Oct 11 early</t>
  </si>
  <si>
    <t xml:space="preserve">ADM_006, STK_001, ORD_004, BAG_008, ADM_007, ADM_008, ADM_009, ADM_013, ADM_014, ADM_015, ADM_016, ADM_018, ADM_012, SEC_001, ADM_019, ADM_020, ADM_021, ADM_022, ADM_023, ADM_025, ADM_026, SEC_002, ADM_011, ACC_001, POL_001, POL_002</t>
  </si>
  <si>
    <t xml:space="preserve">Restore price, stock and photos after each check. Delete test products at the end. Never click Ship via courier partner. Change payment settings only in a quiet period and restore.</t>
  </si>
  <si>
    <t xml:space="preserve">4. Devices</t>
  </si>
  <si>
    <t xml:space="preserve">Oct 11 AM</t>
  </si>
  <si>
    <t xml:space="preserve">DEV_001, DEV_002, DEV_003, DEV_004, CHK_007, NAV_002, PDP_004, UI_001</t>
  </si>
  <si>
    <t xml:space="preserve">Each device run places a real order. Cancel it and note the BHU reference.</t>
  </si>
  <si>
    <t xml:space="preserve">5. Remaining and non-functional</t>
  </si>
  <si>
    <t xml:space="preserve">Oct 11 (stretch)</t>
  </si>
  <si>
    <t xml:space="preserve">NAV_001, NAV_003, NAV_004, NAV_005, HOME_003, PDP_003, PDP_005, BAG_005, BAG_006, BAG_009, CHK_005, CHK_006, CHK_008, CHK_009, ORD_005, UI_002, UI_003, UI_004, UI_005, UI_006, UI_007, UI_008, UI_009, EXP_001</t>
  </si>
  <si>
    <t xml:space="preserve">Stretch phase. If time runs short, run High priority cases only and report the rest as Not Executed. Exploratory session is time-boxed to 60 minutes per device.</t>
  </si>
  <si>
    <t xml:space="preserve">6. Retest and wrap-up</t>
  </si>
  <si>
    <t xml:space="preserve">Oct 11 PM</t>
  </si>
  <si>
    <t xml:space="preserve">Regression sheet (High priority cases), all Failed and Blocked cases</t>
  </si>
  <si>
    <t xml:space="preserve">Retest fixes. Cancel all test orders, restore data, update Defects sheet and send the summary report before the deadline.</t>
  </si>
  <si>
    <t xml:space="preserve">Total</t>
  </si>
  <si>
    <t xml:space="preserve">Prefix TC_BW_ is omitted in Case Ids for brevity (for example ADM_001 means TC_BW_ADM_001).</t>
  </si>
  <si>
    <t xml:space="preserve">Test Type</t>
  </si>
  <si>
    <t xml:space="preserve">Pass</t>
  </si>
  <si>
    <t xml:space="preserve">Fail</t>
  </si>
  <si>
    <t xml:space="preserve">Blocked</t>
  </si>
  <si>
    <t xml:space="preserve">Not Executed</t>
  </si>
  <si>
    <t xml:space="preserve">% Executed</t>
  </si>
  <si>
    <t xml:space="preserve">Accessibility</t>
  </si>
  <si>
    <t xml:space="preserve">Admin</t>
  </si>
  <si>
    <t xml:space="preserve">Boundary</t>
  </si>
  <si>
    <t xml:space="preserve">Compatibility</t>
  </si>
  <si>
    <t xml:space="preserve">Content</t>
  </si>
  <si>
    <t xml:space="preserve">Data Integrity</t>
  </si>
  <si>
    <t xml:space="preserve">Email</t>
  </si>
  <si>
    <t xml:space="preserve">End-to-End</t>
  </si>
  <si>
    <t xml:space="preserve">Error Handling</t>
  </si>
  <si>
    <t xml:space="preserve">Exploratory</t>
  </si>
  <si>
    <t xml:space="preserve">Functional</t>
  </si>
  <si>
    <t xml:space="preserve">Integration</t>
  </si>
  <si>
    <t xml:space="preserve">Navigation</t>
  </si>
  <si>
    <t xml:space="preserve">Negative</t>
  </si>
  <si>
    <t xml:space="preserve">Performance</t>
  </si>
  <si>
    <t xml:space="preserve">Responsive</t>
  </si>
  <si>
    <t xml:space="preserve">SEO</t>
  </si>
  <si>
    <t xml:space="preserve">Security</t>
  </si>
  <si>
    <t xml:space="preserve">State and Session</t>
  </si>
  <si>
    <t xml:space="preserve">UI and Visual</t>
  </si>
  <si>
    <t xml:space="preserve">Usability</t>
  </si>
  <si>
    <t xml:space="preserve">Validation</t>
  </si>
  <si>
    <t xml:space="preserve">Priority summary</t>
  </si>
  <si>
    <t xml:space="preserve">Priority</t>
  </si>
  <si>
    <t xml:space="preserve">High</t>
  </si>
  <si>
    <t xml:space="preserve">Medium</t>
  </si>
  <si>
    <t xml:space="preserve">Low</t>
  </si>
  <si>
    <t xml:space="preserve">Not covered in this round</t>
  </si>
  <si>
    <t xml:space="preserve">Area</t>
  </si>
  <si>
    <t xml:space="preserve">Reason</t>
  </si>
  <si>
    <t xml:space="preserve">Suggested owner</t>
  </si>
  <si>
    <t xml:space="preserve">Load and stress testing</t>
  </si>
  <si>
    <t xml:space="preserve">Needs tooling (k6, JMeter) and a staging target, not manual</t>
  </si>
  <si>
    <t xml:space="preserve">Developer</t>
  </si>
  <si>
    <t xml:space="preserve">Penetration or vulnerability scan</t>
  </si>
  <si>
    <t xml:space="preserve">Only basic manual security checks are done (SEC cases)</t>
  </si>
  <si>
    <t xml:space="preserve">Developer or security vendor</t>
  </si>
  <si>
    <t xml:space="preserve">Online payment (UPI, cards)</t>
  </si>
  <si>
    <t xml:space="preserve">Switched off until payment gateway approves the account (client)</t>
  </si>
  <si>
    <t xml:space="preserve">Retest when live</t>
  </si>
  <si>
    <t xml:space="preserve">Customer sign-in by SMS</t>
  </si>
  <si>
    <t xml:space="preserve">Waiting on SMS registration (client)</t>
  </si>
  <si>
    <t xml:space="preserve">Ship via courier partner, labels, live courier tracking</t>
  </si>
  <si>
    <t xml:space="preserve">Books a real courier and charges the wallet (client)</t>
  </si>
  <si>
    <t xml:space="preserve">Database and API level checks</t>
  </si>
  <si>
    <t xml:space="preserve">No database access; network tab observation only</t>
  </si>
  <si>
    <t xml:space="preserve">Older OS and browser versions, device farm</t>
  </si>
  <si>
    <t xml:space="preserve">Only the available devices are tested</t>
  </si>
  <si>
    <t xml:space="preserve">Optional</t>
  </si>
  <si>
    <t xml:space="preserve">Email clients beyond Gmail and one more</t>
  </si>
  <si>
    <t xml:space="preserve">Partial coverage in EML_003</t>
  </si>
  <si>
    <t xml:space="preserve">Legal and tax compliance review</t>
  </si>
  <si>
    <t xml:space="preserve">Invoice maths is checked; legal wording and GSTIN rules are for the client</t>
  </si>
  <si>
    <t xml:space="preserve">Client or CA</t>
  </si>
  <si>
    <t xml:space="preserve">Test Case Id</t>
  </si>
  <si>
    <t xml:space="preserve">Requirement #</t>
  </si>
  <si>
    <t xml:space="preserve">Test Scenario</t>
  </si>
  <si>
    <t xml:space="preserve">Test Cases</t>
  </si>
  <si>
    <t xml:space="preserve">Pre-condition</t>
  </si>
  <si>
    <t xml:space="preserve">Test Steps</t>
  </si>
  <si>
    <t xml:space="preserve">Step Description</t>
  </si>
  <si>
    <t xml:space="preserve">Test data</t>
  </si>
  <si>
    <t xml:space="preserve">Expected Results</t>
  </si>
  <si>
    <t xml:space="preserve">Actual Results</t>
  </si>
  <si>
    <t xml:space="preserve">Status</t>
  </si>
  <si>
    <t xml:space="preserve">Run On</t>
  </si>
  <si>
    <t xml:space="preserve">TC_BW_HOME_001</t>
  </si>
  <si>
    <t xml:space="preserve">S1</t>
  </si>
  <si>
    <t xml:space="preserve">Home page</t>
  </si>
  <si>
    <t xml:space="preserve">Verify home page, product carousel and links</t>
  </si>
  <si>
    <t xml:space="preserve">Fresh browser session</t>
  </si>
  <si>
    <t xml:space="preserve">Step 01</t>
  </si>
  <si>
    <t xml:space="preserve">Open the home page</t>
  </si>
  <si>
    <t xml:space="preserve">https://bhumaewellness.com</t>
  </si>
  <si>
    <t xml:space="preserve">Page loads with no errors; carousel moves; links open the right pages</t>
  </si>
  <si>
    <t xml:space="preserve">Both</t>
  </si>
  <si>
    <t xml:space="preserve">Step 02</t>
  </si>
  <si>
    <t xml:space="preserve">Move the product carousel</t>
  </si>
  <si>
    <t xml:space="preserve">Step 03</t>
  </si>
  <si>
    <t xml:space="preserve">Click a few links</t>
  </si>
  <si>
    <t xml:space="preserve">TC_BW_COLL_001</t>
  </si>
  <si>
    <t xml:space="preserve">S2</t>
  </si>
  <si>
    <t xml:space="preserve">Collection page</t>
  </si>
  <si>
    <t xml:space="preserve">Verify category tabs and search</t>
  </si>
  <si>
    <t xml:space="preserve">Collection page reachable</t>
  </si>
  <si>
    <t xml:space="preserve">Open /collection</t>
  </si>
  <si>
    <t xml:space="preserve">Search: rose</t>
  </si>
  <si>
    <t xml:space="preserve">Each tab shows only its products and the tab counts are correct; search finds Rose Petal Powder; sorting reorders the list</t>
  </si>
  <si>
    <t xml:space="preserve">Click each category tab and compare the count in brackets with the products shown</t>
  </si>
  <si>
    <t xml:space="preserve">Search 'rose'</t>
  </si>
  <si>
    <t xml:space="preserve">Step 04</t>
  </si>
  <si>
    <t xml:space="preserve">Use the Sort products dropdown</t>
  </si>
  <si>
    <t xml:space="preserve">TC_BW_PDP_001</t>
  </si>
  <si>
    <t xml:space="preserve">S3</t>
  </si>
  <si>
    <t xml:space="preserve">Product page</t>
  </si>
  <si>
    <t xml:space="preserve">Verify product page photos, price, reviews and WhatsApp</t>
  </si>
  <si>
    <t xml:space="preserve">Any product</t>
  </si>
  <si>
    <t xml:space="preserve">Open /products/beetroot</t>
  </si>
  <si>
    <t xml:space="preserve">Beetroot Powder, price ₹399</t>
  </si>
  <si>
    <t xml:space="preserve">Photos switch; price and MRP shown; Reviews says 'No reviews yet'; WhatsApp opens; every tab shows its own content</t>
  </si>
  <si>
    <t xml:space="preserve">Click each gallery photo (4 thumbnails)</t>
  </si>
  <si>
    <t xml:space="preserve">Open each tab: The Ritual &amp; Directions, Ingredients &amp; Provenance, Pouch Specifications, Reviews (0)</t>
  </si>
  <si>
    <t xml:space="preserve">Click Consult on WhatsApp with Practitioner</t>
  </si>
  <si>
    <t xml:space="preserve">TC_BW_BAG_001</t>
  </si>
  <si>
    <t xml:space="preserve">S4</t>
  </si>
  <si>
    <t xml:space="preserve">Bag</t>
  </si>
  <si>
    <t xml:space="preserve">Verify bag add, quantity change, remove and free-delivery note</t>
  </si>
  <si>
    <t xml:space="preserve">Empty bag</t>
  </si>
  <si>
    <t xml:space="preserve">Add Beetroot (₹399) and Orange Peel (₹349) to the bag</t>
  </si>
  <si>
    <t xml:space="preserve">Beetroot 399, Orange Peel 349</t>
  </si>
  <si>
    <t xml:space="preserve">Bag opens as 'The Bag (n)'; subtotal, shipping and total update correctly; the 'Add ₹X more for FREE shipping' note and progress bar update (₹399 alone shows 'Add ₹200 more')</t>
  </si>
  <si>
    <t xml:space="preserve">Open the bag and change quantities</t>
  </si>
  <si>
    <t xml:space="preserve">Remove one product</t>
  </si>
  <si>
    <t xml:space="preserve">Compare subtotal, shipping and total with a manual calculation</t>
  </si>
  <si>
    <t xml:space="preserve">TC_BW_BAG_002</t>
  </si>
  <si>
    <t xml:space="preserve">S5</t>
  </si>
  <si>
    <t xml:space="preserve">Verify quantity limit of 10</t>
  </si>
  <si>
    <t xml:space="preserve">1 product in bag</t>
  </si>
  <si>
    <t xml:space="preserve">Increase one product quantity to 10</t>
  </si>
  <si>
    <t xml:space="preserve">10, 11</t>
  </si>
  <si>
    <t xml:space="preserve">Quantity stops at 10</t>
  </si>
  <si>
    <t xml:space="preserve">Try to set 11 (button and typed)</t>
  </si>
  <si>
    <t xml:space="preserve">TC_BW_CHK_001</t>
  </si>
  <si>
    <t xml:space="preserve">S6</t>
  </si>
  <si>
    <t xml:space="preserve">Checkout form</t>
  </si>
  <si>
    <t xml:space="preserve">Verify empty and invalid checkout fields</t>
  </si>
  <si>
    <t xml:space="preserve">Item in bag, on checkout</t>
  </si>
  <si>
    <t xml:space="preserve">Click Place Order with empty fields</t>
  </si>
  <si>
    <t xml:space="preserve">Phone 12345, email abc@</t>
  </si>
  <si>
    <t xml:space="preserve">A clear error under each required field (email, mobile, address, city, state, PIN; confirm whether Full name is required, its label shows no asterisk); no order placed</t>
  </si>
  <si>
    <t xml:space="preserve">Enter phone 12345 and a wrong email</t>
  </si>
  <si>
    <t xml:space="preserve">Click Place Order</t>
  </si>
  <si>
    <t xml:space="preserve">TC_BW_PIN_001</t>
  </si>
  <si>
    <t xml:space="preserve">S7</t>
  </si>
  <si>
    <t xml:space="preserve">PIN code</t>
  </si>
  <si>
    <t xml:space="preserve">Verify deliverable PIN 202002</t>
  </si>
  <si>
    <t xml:space="preserve">On checkout</t>
  </si>
  <si>
    <t xml:space="preserve">Enter PIN 202002 with city empty</t>
  </si>
  <si>
    <t xml:space="preserve">202002</t>
  </si>
  <si>
    <t xml:space="preserve">'Delivery available to Aligarh'; city fills in by itself if empty</t>
  </si>
  <si>
    <t xml:space="preserve">Observe message and city field</t>
  </si>
  <si>
    <t xml:space="preserve">TC_BW_PIN_002</t>
  </si>
  <si>
    <t xml:space="preserve">S8</t>
  </si>
  <si>
    <t xml:space="preserve">Verify non-served PIN 744101 blocks order</t>
  </si>
  <si>
    <t xml:space="preserve">Valid details filled</t>
  </si>
  <si>
    <t xml:space="preserve">Enter PIN 744101</t>
  </si>
  <si>
    <t xml:space="preserve">744101 (Port Blair)</t>
  </si>
  <si>
    <t xml:space="preserve">Message that the courier does not deliver there yet; order not placed</t>
  </si>
  <si>
    <t xml:space="preserve">Read the message</t>
  </si>
  <si>
    <t xml:space="preserve">Try to place the order</t>
  </si>
  <si>
    <t xml:space="preserve">TC_BW_PIN_003</t>
  </si>
  <si>
    <t xml:space="preserve">S9</t>
  </si>
  <si>
    <t xml:space="preserve">Verify non-real PIN 999999 blocks order</t>
  </si>
  <si>
    <t xml:space="preserve">Enter PIN 999999</t>
  </si>
  <si>
    <t xml:space="preserve">999999</t>
  </si>
  <si>
    <t xml:space="preserve">'999999 is not a valid PIN code'; order not placed</t>
  </si>
  <si>
    <t xml:space="preserve">TC_BW_PAY_001</t>
  </si>
  <si>
    <t xml:space="preserve">S10</t>
  </si>
  <si>
    <t xml:space="preserve">Payment</t>
  </si>
  <si>
    <t xml:space="preserve">Verify payment options display</t>
  </si>
  <si>
    <t xml:space="preserve">Look at the payment section</t>
  </si>
  <si>
    <t xml:space="preserve">UPI and card options</t>
  </si>
  <si>
    <t xml:space="preserve">Online payment (payment gateway, UPI, cards) is greyed out with 'Opening soon'; Cash on Delivery (Additional ₹30 fee) is selected</t>
  </si>
  <si>
    <t xml:space="preserve">Try clicking the online payment option</t>
  </si>
  <si>
    <t xml:space="preserve">TC_BW_ORD_001</t>
  </si>
  <si>
    <t xml:space="preserve">S11</t>
  </si>
  <si>
    <t xml:space="preserve">Order</t>
  </si>
  <si>
    <t xml:space="preserve">Place a Cash on Delivery order end to end</t>
  </si>
  <si>
    <t xml:space="preserve">Real name, mobile and email ready; PIN 202002</t>
  </si>
  <si>
    <t xml:space="preserve">Add a product</t>
  </si>
  <si>
    <t xml:space="preserve">Beetroot x1, PIN 202002. Expect subtotal 399, shipping 49, COD fee 30, total 478; button reads PLACE CASH ON DELIVERY ORDER (₹478)</t>
  </si>
  <si>
    <t xml:space="preserve">Confirmation page with an order reference (BHU-...); bag empties; totals match checkout (₹478)</t>
  </si>
  <si>
    <t xml:space="preserve">Fill checkout with real details</t>
  </si>
  <si>
    <t xml:space="preserve">Select Cash on Delivery</t>
  </si>
  <si>
    <t xml:space="preserve">Place the order</t>
  </si>
  <si>
    <t xml:space="preserve">Step 05</t>
  </si>
  <si>
    <t xml:space="preserve">Note the BHU reference</t>
  </si>
  <si>
    <t xml:space="preserve">TC_BW_DISC_001</t>
  </si>
  <si>
    <t xml:space="preserve">S12</t>
  </si>
  <si>
    <t xml:space="preserve">Discount codes</t>
  </si>
  <si>
    <t xml:space="preserve">Verify discount codes apply, fail and remove (after A10)</t>
  </si>
  <si>
    <t xml:space="preserve">Codes created in A10; use the Discount code box and Apply button in the checkout order summary</t>
  </si>
  <si>
    <t xml:space="preserve">Apply a valid code</t>
  </si>
  <si>
    <t xml:space="preserve">Codes from A10</t>
  </si>
  <si>
    <t xml:space="preserve">Discount line appears and applies to the products total only (shipping and the COD fee are never discounted); wrong code says 'not valid'; minimum-order message shows; Remove clears it</t>
  </si>
  <si>
    <t xml:space="preserve">Apply a wrong code</t>
  </si>
  <si>
    <t xml:space="preserve">Apply the minimum-order code on a small bag</t>
  </si>
  <si>
    <t xml:space="preserve">Click Remove</t>
  </si>
  <si>
    <t xml:space="preserve">TC_BW_PAY_002</t>
  </si>
  <si>
    <t xml:space="preserve">S13</t>
  </si>
  <si>
    <t xml:space="preserve">Verify COD limit above ₹5,000</t>
  </si>
  <si>
    <t xml:space="preserve">Bag builder</t>
  </si>
  <si>
    <t xml:space="preserve">Add products until the bag exceeds ₹5,000</t>
  </si>
  <si>
    <t xml:space="preserve">Rose Petal x10 (₹4,990, check whether the ₹30 fee tips it over ₹5,000), then add Kaolin x1 (₹5,289)</t>
  </si>
  <si>
    <t xml:space="preserve">Cash on Delivery shows 'Not available above ₹5,000' once the limit is crossed (expected until online payment opens); note which amount (subtotal or total with fee) is compared</t>
  </si>
  <si>
    <t xml:space="preserve">Open the payment section</t>
  </si>
  <si>
    <t xml:space="preserve">TC_BW_STK_001</t>
  </si>
  <si>
    <t xml:space="preserve">S14</t>
  </si>
  <si>
    <t xml:space="preserve">Stock</t>
  </si>
  <si>
    <t xml:space="preserve">Verify out of stock display</t>
  </si>
  <si>
    <t xml:space="preserve">Admin access</t>
  </si>
  <si>
    <t xml:space="preserve">In admin set a product's stock to 0</t>
  </si>
  <si>
    <t xml:space="preserve">Stock 0 then restore</t>
  </si>
  <si>
    <t xml:space="preserve">Shop shows 'Currently out of stock' and no Add to bag</t>
  </si>
  <si>
    <t xml:space="preserve">Desktop</t>
  </si>
  <si>
    <t xml:space="preserve">View it on the shop</t>
  </si>
  <si>
    <t xml:space="preserve">Put the stock back</t>
  </si>
  <si>
    <t xml:space="preserve">TC_BW_EML_001</t>
  </si>
  <si>
    <t xml:space="preserve">T1</t>
  </si>
  <si>
    <t xml:space="preserve">Verify order confirmation email</t>
  </si>
  <si>
    <t xml:space="preserve">Order placed in S11</t>
  </si>
  <si>
    <t xml:space="preserve">Check the inbox of the email used</t>
  </si>
  <si>
    <t xml:space="preserve">Own email</t>
  </si>
  <si>
    <t xml:space="preserve">Arrives within a few minutes, in the inbox (not spam), from orders@bhumaewellness.com, with items, total, address and a Track your order link</t>
  </si>
  <si>
    <t xml:space="preserve">Check spam folder</t>
  </si>
  <si>
    <t xml:space="preserve">Verify sender, items, total, address and tracking link</t>
  </si>
  <si>
    <t xml:space="preserve">TC_BW_EML_002</t>
  </si>
  <si>
    <t xml:space="preserve">T2</t>
  </si>
  <si>
    <t xml:space="preserve">Verify store alert email</t>
  </si>
  <si>
    <t xml:space="preserve">Ask the team to check care@bhumaewellness.com</t>
  </si>
  <si>
    <t xml:space="preserve">care@bhumaewellness.com</t>
  </si>
  <si>
    <t xml:space="preserve">A 'New order' alert with the customer's details arrives</t>
  </si>
  <si>
    <t xml:space="preserve">Compare the details with the order</t>
  </si>
  <si>
    <t xml:space="preserve">TC_BW_TRK_001</t>
  </si>
  <si>
    <t xml:space="preserve">T3</t>
  </si>
  <si>
    <t xml:space="preserve">Order tracking</t>
  </si>
  <si>
    <t xml:space="preserve">Verify tracking by order reference</t>
  </si>
  <si>
    <t xml:space="preserve">Order from S11</t>
  </si>
  <si>
    <t xml:space="preserve">Click Track your order in the email</t>
  </si>
  <si>
    <t xml:space="preserve">BHU reference</t>
  </si>
  <si>
    <t xml:space="preserve">Shows status, items and total; shows only name and city, never the full address or phone</t>
  </si>
  <si>
    <t xml:space="preserve">Open Track Order page and enter the reference</t>
  </si>
  <si>
    <t xml:space="preserve">Check what is shown</t>
  </si>
  <si>
    <t xml:space="preserve">TC_BW_TRK_002</t>
  </si>
  <si>
    <t xml:space="preserve">T4</t>
  </si>
  <si>
    <t xml:space="preserve">Verify tracking by mobile number</t>
  </si>
  <si>
    <t xml:space="preserve">Open Track Order page</t>
  </si>
  <si>
    <t xml:space="preserve">Own mobile number</t>
  </si>
  <si>
    <t xml:space="preserve">Lists the orders placed with that number</t>
  </si>
  <si>
    <t xml:space="preserve">Enter your mobile number</t>
  </si>
  <si>
    <t xml:space="preserve">Review the list</t>
  </si>
  <si>
    <t xml:space="preserve">TC_BW_ACC_001</t>
  </si>
  <si>
    <t xml:space="preserve">T5</t>
  </si>
  <si>
    <t xml:space="preserve">Account</t>
  </si>
  <si>
    <t xml:space="preserve">Verify Account page</t>
  </si>
  <si>
    <t xml:space="preserve">None</t>
  </si>
  <si>
    <t xml:space="preserve">Open Account</t>
  </si>
  <si>
    <t xml:space="preserve">N/A</t>
  </si>
  <si>
    <t xml:space="preserve">Says sign-in is being set up and offers a Track an Order button that works</t>
  </si>
  <si>
    <t xml:space="preserve">Click Track an Order</t>
  </si>
  <si>
    <t xml:space="preserve">TC_BW_POL_001</t>
  </si>
  <si>
    <t xml:space="preserve">T6</t>
  </si>
  <si>
    <t xml:space="preserve">Policy and contact</t>
  </si>
  <si>
    <t xml:space="preserve">Verify policy and contact pages</t>
  </si>
  <si>
    <t xml:space="preserve">Footer visible</t>
  </si>
  <si>
    <t xml:space="preserve">Open Privacy, Terms, Refund and Shipping from the footer</t>
  </si>
  <si>
    <t xml:space="preserve">4 policies + Contact</t>
  </si>
  <si>
    <t xml:space="preserve">Every page opens (Privacy policy, Terms &amp; conditions, Refunds &amp; cancellations, Shipping, Customer Account &amp; Orders, WhatsApp Concierge); contact links open correctly</t>
  </si>
  <si>
    <t xml:space="preserve">Open Contact</t>
  </si>
  <si>
    <t xml:space="preserve">Click WhatsApp and email links</t>
  </si>
  <si>
    <t xml:space="preserve">TC_BW_ADM_001</t>
  </si>
  <si>
    <t xml:space="preserve">A1</t>
  </si>
  <si>
    <t xml:space="preserve">Admin login</t>
  </si>
  <si>
    <t xml:space="preserve">Verify sign in and sign out</t>
  </si>
  <si>
    <t xml:space="preserve">Admin URL and password</t>
  </si>
  <si>
    <t xml:space="preserve">Sign in with a wrong password</t>
  </si>
  <si>
    <t xml:space="preserve">Wrong, then correct password</t>
  </si>
  <si>
    <t xml:space="preserve">Wrong password: 'Incorrect password'; right one opens the dashboard; Sign Out returns to the sign-in screen</t>
  </si>
  <si>
    <t xml:space="preserve">Sign in with the right password</t>
  </si>
  <si>
    <t xml:space="preserve">Click Sign Out</t>
  </si>
  <si>
    <t xml:space="preserve">TC_BW_ADM_002</t>
  </si>
  <si>
    <t xml:space="preserve">A2</t>
  </si>
  <si>
    <t xml:space="preserve">Admin orders</t>
  </si>
  <si>
    <t xml:space="preserve">Verify orders list</t>
  </si>
  <si>
    <t xml:space="preserve">Open Orders</t>
  </si>
  <si>
    <t xml:space="preserve">Your S11 order shows with customer, address, items, total and status PENDING_COD</t>
  </si>
  <si>
    <t xml:space="preserve">Find the S11 order</t>
  </si>
  <si>
    <t xml:space="preserve">Compare the details</t>
  </si>
  <si>
    <t xml:space="preserve">TC_BW_ADM_003</t>
  </si>
  <si>
    <t xml:space="preserve">A3</t>
  </si>
  <si>
    <t xml:space="preserve">Admin invoice</t>
  </si>
  <si>
    <t xml:space="preserve">Verify tax invoice (Aligarh and Delhi)</t>
  </si>
  <si>
    <t xml:space="preserve">Own orders to 202002 and 110001. The existing Delhi COD order from another tester can also be used for the IGST check if the client agrees</t>
  </si>
  <si>
    <t xml:space="preserve">Click Invoice on the COD order</t>
  </si>
  <si>
    <t xml:space="preserve">202002 and 110001</t>
  </si>
  <si>
    <t xml:space="preserve">Numbered BHU/26-27/...; a GSTIN warning shows (expected until added); Aligarh order shows CGST + SGST, Delhi order shows IGST; prints as one clean A4 page</t>
  </si>
  <si>
    <t xml:space="preserve">Repeat for the Delhi order</t>
  </si>
  <si>
    <t xml:space="preserve">Click Print / Save PDF</t>
  </si>
  <si>
    <t xml:space="preserve">TC_BW_ADM_004</t>
  </si>
  <si>
    <t xml:space="preserve">A4</t>
  </si>
  <si>
    <t xml:space="preserve">Admin emails</t>
  </si>
  <si>
    <t xml:space="preserve">Verify Resend emails</t>
  </si>
  <si>
    <t xml:space="preserve">Order exists</t>
  </si>
  <si>
    <t xml:space="preserve">Click Resend emails on the order</t>
  </si>
  <si>
    <t xml:space="preserve">Own order</t>
  </si>
  <si>
    <t xml:space="preserve">Confirmation and store alert arrive again</t>
  </si>
  <si>
    <t xml:space="preserve">Check both inboxes</t>
  </si>
  <si>
    <t xml:space="preserve">TC_BW_ADM_005</t>
  </si>
  <si>
    <t xml:space="preserve">A5</t>
  </si>
  <si>
    <t xml:space="preserve">Admin order status</t>
  </si>
  <si>
    <t xml:space="preserve">Verify cancelling an order restores stock</t>
  </si>
  <si>
    <t xml:space="preserve">Order of your own exists; run after A3, A4, T3, T4. The 2 existing orders belong to another tester, do not cancel or edit them</t>
  </si>
  <si>
    <t xml:space="preserve">Note the product's stock</t>
  </si>
  <si>
    <t xml:space="preserve">Status shows CANCELLED; the product's stock goes back up on the shop</t>
  </si>
  <si>
    <t xml:space="preserve">Set Manual Status to Cancelled</t>
  </si>
  <si>
    <t xml:space="preserve">Check the shop stock</t>
  </si>
  <si>
    <t xml:space="preserve">TC_BW_ADM_006</t>
  </si>
  <si>
    <t xml:space="preserve">A6</t>
  </si>
  <si>
    <t xml:space="preserve">Admin products</t>
  </si>
  <si>
    <t xml:space="preserve">Verify editing price, MRP and stock</t>
  </si>
  <si>
    <t xml:space="preserve">Change a product's price, MRP and stock</t>
  </si>
  <si>
    <t xml:space="preserve">Record originals first</t>
  </si>
  <si>
    <t xml:space="preserve">Shop and product page show the new values, then the original ones</t>
  </si>
  <si>
    <t xml:space="preserve">Check the shop and product page after refresh</t>
  </si>
  <si>
    <t xml:space="preserve">Change them back</t>
  </si>
  <si>
    <t xml:space="preserve">TC_BW_ADM_007</t>
  </si>
  <si>
    <t xml:space="preserve">A7</t>
  </si>
  <si>
    <t xml:space="preserve">Verify adding a product with photos</t>
  </si>
  <si>
    <t xml:space="preserve">Photo file ready</t>
  </si>
  <si>
    <t xml:space="preserve">Add New Product with name, price, stock, category</t>
  </si>
  <si>
    <t xml:space="preserve">Test product (delete later)</t>
  </si>
  <si>
    <t xml:space="preserve">Appears on Collection; its page opens with the photo, and the browser tab shows '&lt;name&gt; | Bhumae Wellness'</t>
  </si>
  <si>
    <t xml:space="preserve">Upload a front photo from phone or computer</t>
  </si>
  <si>
    <t xml:space="preserve">Save</t>
  </si>
  <si>
    <t xml:space="preserve">Check Collection and the product page</t>
  </si>
  <si>
    <t xml:space="preserve">TC_BW_ADM_008</t>
  </si>
  <si>
    <t xml:space="preserve">A8</t>
  </si>
  <si>
    <t xml:space="preserve">Verify gallery photos upload and removal</t>
  </si>
  <si>
    <t xml:space="preserve">Product from A7</t>
  </si>
  <si>
    <t xml:space="preserve">Upload Gallery Photos (several)</t>
  </si>
  <si>
    <t xml:space="preserve">3 photos</t>
  </si>
  <si>
    <t xml:space="preserve">All photos show on the product page; the removed one disappears</t>
  </si>
  <si>
    <t xml:space="preserve">Remove one</t>
  </si>
  <si>
    <t xml:space="preserve">Check the product page</t>
  </si>
  <si>
    <t xml:space="preserve">TC_BW_ADM_009</t>
  </si>
  <si>
    <t xml:space="preserve">A9</t>
  </si>
  <si>
    <t xml:space="preserve">Verify deleting a product</t>
  </si>
  <si>
    <t xml:space="preserve">Delete the product</t>
  </si>
  <si>
    <t xml:space="preserve">Gone from Collection; its old link shows a not-found page</t>
  </si>
  <si>
    <t xml:space="preserve">Check Collection</t>
  </si>
  <si>
    <t xml:space="preserve">Open its old link</t>
  </si>
  <si>
    <t xml:space="preserve">TC_BW_ADM_010</t>
  </si>
  <si>
    <t xml:space="preserve">A10</t>
  </si>
  <si>
    <t xml:space="preserve">Admin discounts</t>
  </si>
  <si>
    <t xml:space="preserve">Verify discount code management (run before S12)</t>
  </si>
  <si>
    <t xml:space="preserve">Open the Discount Codes tab (it shows 0 codes now)</t>
  </si>
  <si>
    <t xml:space="preserve">4 codes, add a Note to each</t>
  </si>
  <si>
    <t xml:space="preserve">Codes list with the right status; Customers can use no code until one exists; expired and paused codes are refused at checkout; the private Note never appears on the storefront</t>
  </si>
  <si>
    <t xml:space="preserve">Create a 10% code (Code, Type Percentage off, Percent off)</t>
  </si>
  <si>
    <t xml:space="preserve">Create a ₹100 off code with ₹700 minimum order</t>
  </si>
  <si>
    <t xml:space="preserve">Create a code whose Last day valid (dd-mm-yyyy) has passed</t>
  </si>
  <si>
    <t xml:space="preserve">Pause one</t>
  </si>
  <si>
    <t xml:space="preserve">Step 06</t>
  </si>
  <si>
    <t xml:space="preserve">Delete one</t>
  </si>
  <si>
    <t xml:space="preserve">TC_BW_ADM_011</t>
  </si>
  <si>
    <t xml:space="preserve">A11</t>
  </si>
  <si>
    <t xml:space="preserve">Admin content</t>
  </si>
  <si>
    <t xml:space="preserve">Verify Video &amp; Reels tab</t>
  </si>
  <si>
    <t xml:space="preserve">Open Video &amp; Reels</t>
  </si>
  <si>
    <t xml:space="preserve">Shows the one BHUMAE Instagram post and no testimonials (cards: Customer video testimonials 0, Instagram reels and clips 1, Active motion proof assets 1)</t>
  </si>
  <si>
    <t xml:space="preserve">Compare with the storefront</t>
  </si>
  <si>
    <t xml:space="preserve">TC_BW_DEV_001</t>
  </si>
  <si>
    <t xml:space="preserve">D1</t>
  </si>
  <si>
    <t xml:space="preserve">Device: Android</t>
  </si>
  <si>
    <t xml:space="preserve">Run S1 to S11 on Android Chrome</t>
  </si>
  <si>
    <t xml:space="preserve">Android phone</t>
  </si>
  <si>
    <t xml:space="preserve">Run S1 to S11</t>
  </si>
  <si>
    <t xml:space="preserve">Android, Chrome</t>
  </si>
  <si>
    <t xml:space="preserve">Text readable without zooming; buttons easy to tap; no sideways scrolling; checkout fits the screen</t>
  </si>
  <si>
    <t xml:space="preserve">Mobile</t>
  </si>
  <si>
    <t xml:space="preserve">Check readability, tap targets, sideways scroll and checkout fit</t>
  </si>
  <si>
    <t xml:space="preserve">TC_BW_DEV_002</t>
  </si>
  <si>
    <t xml:space="preserve">D2</t>
  </si>
  <si>
    <t xml:space="preserve">Device: iPhone</t>
  </si>
  <si>
    <t xml:space="preserve">Run S1 to S11 on iPhone Safari</t>
  </si>
  <si>
    <t xml:space="preserve">iPhone</t>
  </si>
  <si>
    <t xml:space="preserve">iPhone, Safari</t>
  </si>
  <si>
    <t xml:space="preserve">Same as D1</t>
  </si>
  <si>
    <t xml:space="preserve">TC_BW_DEV_003</t>
  </si>
  <si>
    <t xml:space="preserve">D3</t>
  </si>
  <si>
    <t xml:space="preserve">Device: Desktop</t>
  </si>
  <si>
    <t xml:space="preserve">Run S1 to S11 and A1 to A11 on desktop Chrome or Edge</t>
  </si>
  <si>
    <t xml:space="preserve">Chrome or Edge</t>
  </si>
  <si>
    <t xml:space="preserve">Everything works; admin tables readable</t>
  </si>
  <si>
    <t xml:space="preserve">Run A1 to A11</t>
  </si>
  <si>
    <t xml:space="preserve">Check admin tables</t>
  </si>
  <si>
    <t xml:space="preserve">TC_BW_DEV_004</t>
  </si>
  <si>
    <t xml:space="preserve">D4</t>
  </si>
  <si>
    <t xml:space="preserve">Device: Mac</t>
  </si>
  <si>
    <t xml:space="preserve">Run S1 to S11 on Mac Safari (if available)</t>
  </si>
  <si>
    <t xml:space="preserve">Mac available</t>
  </si>
  <si>
    <t xml:space="preserve">macOS, Safari</t>
  </si>
  <si>
    <t xml:space="preserve">Same as D3</t>
  </si>
  <si>
    <t xml:space="preserve">TC_BW_HOME_002</t>
  </si>
  <si>
    <t xml:space="preserve">Added</t>
  </si>
  <si>
    <t xml:space="preserve">Verify hero, trust strip, section CTAs and the video</t>
  </si>
  <si>
    <t xml:space="preserve">Home page loaded</t>
  </si>
  <si>
    <t xml:space="preserve">Click the hero CTAs</t>
  </si>
  <si>
    <t xml:space="preserve">Every CTA opens the intended page; no dead or # links; video controls work</t>
  </si>
  <si>
    <t xml:space="preserve">Read the 4 trust items under the hero</t>
  </si>
  <si>
    <t xml:space="preserve">Click CTAs in each section</t>
  </si>
  <si>
    <t xml:space="preserve">Play, pause and mute the video</t>
  </si>
  <si>
    <t xml:space="preserve">TC_BW_HOME_003</t>
  </si>
  <si>
    <t xml:space="preserve">Verify spelling, copy and consistency across all pages</t>
  </si>
  <si>
    <t xml:space="preserve">Client copy available</t>
  </si>
  <si>
    <t xml:space="preserve">Read every page</t>
  </si>
  <si>
    <t xml:space="preserve">All pages</t>
  </si>
  <si>
    <t xml:space="preserve">No typos, placeholder or lorem text; brand name consistent; values match everywhere</t>
  </si>
  <si>
    <t xml:space="preserve">Check brand name spelling (Bhumae vs 'bhumee' on the Collection heading)</t>
  </si>
  <si>
    <t xml:space="preserve">Compare prices, pack sizes and claims between card, product page, bag and email</t>
  </si>
  <si>
    <t xml:space="preserve">Check the ₹symbol</t>
  </si>
  <si>
    <t xml:space="preserve">TC_BW_NAV_001</t>
  </si>
  <si>
    <t xml:space="preserve">Verify header menu, logo and sticky behaviour</t>
  </si>
  <si>
    <t xml:space="preserve">Click each header link: Store &amp; Catalog, The Ritual, Our Story, Questions, Track Order, Contact</t>
  </si>
  <si>
    <t xml:space="preserve">All header items</t>
  </si>
  <si>
    <t xml:space="preserve">Each link opens the right page; logo returns home; header does not overlap content; Bag shows the item count</t>
  </si>
  <si>
    <t xml:space="preserve">Click the social icons, Consult on WhatsApp, Account and Bag</t>
  </si>
  <si>
    <t xml:space="preserve">Click the logo from inner pages</t>
  </si>
  <si>
    <t xml:space="preserve">Scroll and watch the sticky header and the top announcement bar</t>
  </si>
  <si>
    <t xml:space="preserve">TC_BW_NAV_002</t>
  </si>
  <si>
    <t xml:space="preserve">Verify mobile hamburger menu</t>
  </si>
  <si>
    <t xml:space="preserve">Open the menu</t>
  </si>
  <si>
    <t xml:space="preserve">Android and iPhone</t>
  </si>
  <si>
    <t xml:space="preserve">Menu fits the screen, opens and closes cleanly and does not lock the page</t>
  </si>
  <si>
    <t xml:space="preserve">Tap each item</t>
  </si>
  <si>
    <t xml:space="preserve">Close via X and outside tap</t>
  </si>
  <si>
    <t xml:space="preserve">TC_BW_NAV_003</t>
  </si>
  <si>
    <t xml:space="preserve">Verify every footer and social link</t>
  </si>
  <si>
    <t xml:space="preserve">Click every footer link: Botanical Store, The ritual, Our story, Questions &amp; FAQ, Track Order, Store Admin &amp; Catalog, Customer Account &amp; Orders, Privacy policy, Terms &amp; conditions, Refunds &amp; cancellations, Shipping, WhatsApp Concierge</t>
  </si>
  <si>
    <t xml:space="preserve">All footer links</t>
  </si>
  <si>
    <t xml:space="preserve">No broken links; correct destinations; phone, email, WhatsApp and social links open correctly</t>
  </si>
  <si>
    <t xml:space="preserve">Click every contact line and social link</t>
  </si>
  <si>
    <t xml:space="preserve">Check new tab behaviour</t>
  </si>
  <si>
    <t xml:space="preserve">TC_BW_NAV_004</t>
  </si>
  <si>
    <t xml:space="preserve">Verify 404 page and invalid URLs</t>
  </si>
  <si>
    <t xml:space="preserve">Open /does-not-exist</t>
  </si>
  <si>
    <t xml:space="preserve">/products/invalid, /collection/invalid, /does-not-exist</t>
  </si>
  <si>
    <t xml:space="preserve">Branded 404 with navigation; no server error text</t>
  </si>
  <si>
    <t xml:space="preserve">Open /collection/invalid-product</t>
  </si>
  <si>
    <t xml:space="preserve">Use the home link on the 404</t>
  </si>
  <si>
    <t xml:space="preserve">TC_BW_NAV_005</t>
  </si>
  <si>
    <t xml:space="preserve">Verify browser Back, Forward and Refresh through the whole flow</t>
  </si>
  <si>
    <t xml:space="preserve">Item in bag</t>
  </si>
  <si>
    <t xml:space="preserve">Go Home to Product to Bag to Checkout</t>
  </si>
  <si>
    <t xml:space="preserve">Full flow</t>
  </si>
  <si>
    <t xml:space="preserve">No broken state, lost bag or duplicate actions; form data behaviour is sensible</t>
  </si>
  <si>
    <t xml:space="preserve">Press Back and Forward at each step</t>
  </si>
  <si>
    <t xml:space="preserve">Refresh at each step</t>
  </si>
  <si>
    <t xml:space="preserve">TC_BW_COLL_002</t>
  </si>
  <si>
    <t xml:space="preserve">Verify search edge cases</t>
  </si>
  <si>
    <t xml:space="preserve">Search empty</t>
  </si>
  <si>
    <t xml:space="preserve">Listed inputs</t>
  </si>
  <si>
    <t xml:space="preserve">Case-insensitive match; clean no-result message; special characters safe; clearing restores all products</t>
  </si>
  <si>
    <t xml:space="preserve">Search 'ROSE', ' rose ', 'xyz', '&lt;b&gt;', '%', very long text</t>
  </si>
  <si>
    <t xml:space="preserve">Clear search</t>
  </si>
  <si>
    <t xml:space="preserve">TC_BW_PDP_002</t>
  </si>
  <si>
    <t xml:space="preserve">Product pages</t>
  </si>
  <si>
    <t xml:space="preserve">Verify all 5 products: photos, description, usage, ingredients</t>
  </si>
  <si>
    <t xml:space="preserve">Products live</t>
  </si>
  <si>
    <t xml:space="preserve">Open Beetroot, Orange Peel, Rose Petal, Kaolin Clay and Moringa</t>
  </si>
  <si>
    <t xml:space="preserve">Beetroot ₹399, Orange Peel ₹349, Rose Petal ₹499, Kaolin Clay ₹299, Moringa ₹379 (confirm at 100% zoom)</t>
  </si>
  <si>
    <t xml:space="preserve">All content present, accurate and readable; no broken images; each product in the correct category</t>
  </si>
  <si>
    <t xml:space="preserve">For each check photos, description, usage directions, ingredients, price, MRP, size</t>
  </si>
  <si>
    <t xml:space="preserve">TC_BW_PDP_003</t>
  </si>
  <si>
    <t xml:space="preserve">Verify product page URL, title, refresh and share</t>
  </si>
  <si>
    <t xml:space="preserve">Product known</t>
  </si>
  <si>
    <t xml:space="preserve">Open a product link directly in a new tab</t>
  </si>
  <si>
    <t xml:space="preserve">Product URL</t>
  </si>
  <si>
    <t xml:space="preserve">Direct and refreshed URLs load fully; title reads '&lt;name&gt; | Bhumae Wellness'</t>
  </si>
  <si>
    <t xml:space="preserve">Refresh</t>
  </si>
  <si>
    <t xml:space="preserve">Check the browser tab title</t>
  </si>
  <si>
    <t xml:space="preserve">TC_BW_PDP_004</t>
  </si>
  <si>
    <t xml:space="preserve">Verify WhatsApp link behaviour on mobile and desktop</t>
  </si>
  <si>
    <t xml:space="preserve">Click Consult on WhatsApp on mobile</t>
  </si>
  <si>
    <t xml:space="preserve">Android, iPhone, desktop</t>
  </si>
  <si>
    <t xml:space="preserve">Opens WhatsApp app or WhatsApp Web with the right number and a sensible message</t>
  </si>
  <si>
    <t xml:space="preserve">Click it on desktop</t>
  </si>
  <si>
    <t xml:space="preserve">Check the pre-filled message and number</t>
  </si>
  <si>
    <t xml:space="preserve">TC_BW_PDP_005</t>
  </si>
  <si>
    <t xml:space="preserve">Verify Reviews section behaviour</t>
  </si>
  <si>
    <t xml:space="preserve">Scroll to Reviews</t>
  </si>
  <si>
    <t xml:space="preserve">Shows 'No reviews yet'; any form validates input and works or is clearly absent</t>
  </si>
  <si>
    <t xml:space="preserve">Look for any review form or button</t>
  </si>
  <si>
    <t xml:space="preserve">Try submitting if present</t>
  </si>
  <si>
    <t xml:space="preserve">TC_BW_BAG_003</t>
  </si>
  <si>
    <t xml:space="preserve">Verify bag open and close methods across pages</t>
  </si>
  <si>
    <t xml:space="preserve">Open bag from Home, Collection, Product and policy pages</t>
  </si>
  <si>
    <t xml:space="preserve">Opens everywhere with identical contents; all close methods work; page behind does not scroll</t>
  </si>
  <si>
    <t xml:space="preserve">Close with X, overlay click and Esc</t>
  </si>
  <si>
    <t xml:space="preserve">TC_BW_BAG_004</t>
  </si>
  <si>
    <t xml:space="preserve">Verify free-shipping threshold boundaries and progress bar</t>
  </si>
  <si>
    <t xml:space="preserve">Know product prices</t>
  </si>
  <si>
    <t xml:space="preserve">Build bags worth about ₹598, 599 and 600</t>
  </si>
  <si>
    <t xml:space="preserve">Kaolin x2 = ₹598 (shipping 49, 'Add ₹1 more'); Kaolin + Orange = ₹648 (free). For exactly ₹599 temporarily set a product price to 599 in admin (ADM_006) and restore</t>
  </si>
  <si>
    <t xml:space="preserve">Shipping is free from ₹599 on subtotal; ₹49 below it; progress bar and message correct on each side; banner says FREE express shipping on ₹599+</t>
  </si>
  <si>
    <t xml:space="preserve">Compare delivery charge and note at each</t>
  </si>
  <si>
    <t xml:space="preserve">TC_BW_BAG_005</t>
  </si>
  <si>
    <t xml:space="preserve">Verify bag persistence</t>
  </si>
  <si>
    <t xml:space="preserve">1 to 2 items</t>
  </si>
  <si>
    <t xml:space="preserve">Bag persists across refresh, tabs and restart; it is kept in the browser (local storage, per the Privacy policy) so it does not follow the customer to another device; after clearing data it is empty with no errors</t>
  </si>
  <si>
    <t xml:space="preserve">Open a new tab</t>
  </si>
  <si>
    <t xml:space="preserve">Close and reopen the browser</t>
  </si>
  <si>
    <t xml:space="preserve">Clear site data</t>
  </si>
  <si>
    <t xml:space="preserve">TC_BW_BAG_006</t>
  </si>
  <si>
    <t xml:space="preserve">Verify rapid clicks and double add</t>
  </si>
  <si>
    <t xml:space="preserve">Double-click Add to Bag</t>
  </si>
  <si>
    <t xml:space="preserve">Quantity matches intended actions; no duplicate lines, frozen bag or wrong totals</t>
  </si>
  <si>
    <t xml:space="preserve">Rapidly click + and - in the bag</t>
  </si>
  <si>
    <t xml:space="preserve">Add and remove quickly</t>
  </si>
  <si>
    <t xml:space="preserve">TC_BW_BAG_007</t>
  </si>
  <si>
    <t xml:space="preserve">Verify the limit of 10 when adding repeatedly</t>
  </si>
  <si>
    <t xml:space="preserve">Add the same product from the product page 11 times</t>
  </si>
  <si>
    <t xml:space="preserve">Total 11 and 12</t>
  </si>
  <si>
    <t xml:space="preserve">Total per product never exceeds 10 and a clear message appears</t>
  </si>
  <si>
    <t xml:space="preserve">Add 6 then 6 again</t>
  </si>
  <si>
    <t xml:space="preserve">Edit quantity in the bag</t>
  </si>
  <si>
    <t xml:space="preserve">TC_BW_BAG_008</t>
  </si>
  <si>
    <t xml:space="preserve">Verify bag updates when price or stock changes while in bag</t>
  </si>
  <si>
    <t xml:space="preserve">Admin and storefront open</t>
  </si>
  <si>
    <t xml:space="preserve">Price change, stock 0</t>
  </si>
  <si>
    <t xml:space="preserve">Bag and checkout use current price; out-of-stock item is flagged or blocked; restore values afterwards</t>
  </si>
  <si>
    <t xml:space="preserve">In admin change its price or set stock 0</t>
  </si>
  <si>
    <t xml:space="preserve">Refresh the bag and open checkout</t>
  </si>
  <si>
    <t xml:space="preserve">TC_BW_BAG_009</t>
  </si>
  <si>
    <t xml:space="preserve">Verify bag in two tabs stays in sync</t>
  </si>
  <si>
    <t xml:space="preserve">Two tabs</t>
  </si>
  <si>
    <t xml:space="preserve">Add an item in tab 1</t>
  </si>
  <si>
    <t xml:space="preserve">2 tabs</t>
  </si>
  <si>
    <t xml:space="preserve">Bag state consistent after refocus or refresh; no ghost items</t>
  </si>
  <si>
    <t xml:space="preserve">Switch to tab 2 and open the bag</t>
  </si>
  <si>
    <t xml:space="preserve">Remove in tab 2 and check tab 1</t>
  </si>
  <si>
    <t xml:space="preserve">TC_BW_CHK_002</t>
  </si>
  <si>
    <t xml:space="preserve">Verify field validation boundaries</t>
  </si>
  <si>
    <t xml:space="preserve">Test name: empty, 1 char, digits, symbols, 100+ chars</t>
  </si>
  <si>
    <t xml:space="preserve">See steps</t>
  </si>
  <si>
    <t xml:space="preserve">Invalid values rejected with clear messages; valid variants (+91, spaces) handled or explained; long text does not break layout</t>
  </si>
  <si>
    <t xml:space="preserve">Test phone: 9 digits, 11 digits, +91, spaces, letters, starts with 0 to 5</t>
  </si>
  <si>
    <t xml:space="preserve">Test email variants</t>
  </si>
  <si>
    <t xml:space="preserve">Test address and PIN lengths</t>
  </si>
  <si>
    <t xml:space="preserve">TC_BW_CHK_003</t>
  </si>
  <si>
    <t xml:space="preserve">Verify PIN, city and state consistency</t>
  </si>
  <si>
    <t xml:space="preserve">Enter 110001 and 202002 in turn</t>
  </si>
  <si>
    <t xml:space="preserve">PIN 110001 while State still shows the default Uttar Pradesh; PIN 202002; edit city and state after auto-fill</t>
  </si>
  <si>
    <t xml:space="preserve">City and state follow the PIN or a mismatch is flagged; the state stored on the order is correct (needed for CGST+SGST vs IGST on the invoice)</t>
  </si>
  <si>
    <t xml:space="preserve">Edit the auto-filled city and state</t>
  </si>
  <si>
    <t xml:space="preserve">Enter a PIN then change it</t>
  </si>
  <si>
    <t xml:space="preserve">TC_BW_CHK_004</t>
  </si>
  <si>
    <t xml:space="preserve">Verify double submit, refresh and Back after placing an order</t>
  </si>
  <si>
    <t xml:space="preserve">Valid checkout</t>
  </si>
  <si>
    <t xml:space="preserve">Click Place Order twice quickly</t>
  </si>
  <si>
    <t xml:space="preserve">1 order</t>
  </si>
  <si>
    <t xml:space="preserve">Only one order created; refresh does not reorder; Back does not resubmit</t>
  </si>
  <si>
    <t xml:space="preserve">Refresh the confirmation page</t>
  </si>
  <si>
    <t xml:space="preserve">Press Back after confirmation</t>
  </si>
  <si>
    <t xml:space="preserve">TC_BW_CHK_005</t>
  </si>
  <si>
    <t xml:space="preserve">Verify order summary and totals on checkout</t>
  </si>
  <si>
    <t xml:space="preserve">Items in bag</t>
  </si>
  <si>
    <t xml:space="preserve">Compare the summary with the bag</t>
  </si>
  <si>
    <t xml:space="preserve">2 products</t>
  </si>
  <si>
    <t xml:space="preserve">Items, quantities, discount, delivery and total match the bag</t>
  </si>
  <si>
    <t xml:space="preserve">Apply a discount</t>
  </si>
  <si>
    <t xml:space="preserve">Check delivery and total</t>
  </si>
  <si>
    <t xml:space="preserve">TC_BW_CHK_006</t>
  </si>
  <si>
    <t xml:space="preserve">Verify direct access to checkout with an empty bag</t>
  </si>
  <si>
    <t xml:space="preserve">Open the checkout URL directly</t>
  </si>
  <si>
    <t xml:space="preserve">Checkout URL</t>
  </si>
  <si>
    <t xml:space="preserve">Redirects or shows empty-bag message; no blank order is possible</t>
  </si>
  <si>
    <t xml:space="preserve">Try to place an order</t>
  </si>
  <si>
    <t xml:space="preserve">TC_BW_CHK_007</t>
  </si>
  <si>
    <t xml:space="preserve">Verify mobile keyboards, autofill and layout on checkout</t>
  </si>
  <si>
    <t xml:space="preserve">Tap phone and email fields</t>
  </si>
  <si>
    <t xml:space="preserve">Android, iPhone</t>
  </si>
  <si>
    <t xml:space="preserve">Numeric keypad for phone, email keyboard for email; button reachable; no zoom jump on iPhone</t>
  </si>
  <si>
    <t xml:space="preserve">Use autofill</t>
  </si>
  <si>
    <t xml:space="preserve">Check the Place Order button with the keyboard open</t>
  </si>
  <si>
    <t xml:space="preserve">TC_BW_CHK_008</t>
  </si>
  <si>
    <t xml:space="preserve">Verify behaviour on slow or lost network</t>
  </si>
  <si>
    <t xml:space="preserve">Throttle to Slow 3G and place an order</t>
  </si>
  <si>
    <t xml:space="preserve">Slow 3G, offline</t>
  </si>
  <si>
    <t xml:space="preserve">Loading state shown; friendly error offline; no duplicate order on retry</t>
  </si>
  <si>
    <t xml:space="preserve">Go offline and place an order</t>
  </si>
  <si>
    <t xml:space="preserve">Restore and retry</t>
  </si>
  <si>
    <t xml:space="preserve">TC_BW_CHK_009</t>
  </si>
  <si>
    <t xml:space="preserve">Verify script and SQL input in all fields</t>
  </si>
  <si>
    <t xml:space="preserve">On checkout and Track Order</t>
  </si>
  <si>
    <t xml:space="preserve">Enter &lt;script&gt;alert(1)&lt;/script&gt; and ' OR 1=1 -- in name, address, track fields</t>
  </si>
  <si>
    <t xml:space="preserve">Injection strings</t>
  </si>
  <si>
    <t xml:space="preserve">No script runs on any page, admin or email; input stored safely or rejected</t>
  </si>
  <si>
    <t xml:space="preserve">Place the order and view admin and email</t>
  </si>
  <si>
    <t xml:space="preserve">TC_BW_ORD_002</t>
  </si>
  <si>
    <t xml:space="preserve">Order data</t>
  </si>
  <si>
    <t xml:space="preserve">Verify one order shows identical data everywhere</t>
  </si>
  <si>
    <t xml:space="preserve">Order placed</t>
  </si>
  <si>
    <t xml:space="preserve">Compare confirmation page, email, store alert, tracking, admin and invoice</t>
  </si>
  <si>
    <t xml:space="preserve">All values identical in every place; timestamps in IST</t>
  </si>
  <si>
    <t xml:space="preserve">Check items, total, address, phone, date</t>
  </si>
  <si>
    <t xml:space="preserve">TC_BW_ORD_003</t>
  </si>
  <si>
    <t xml:space="preserve">Verify stock reduces after an order</t>
  </si>
  <si>
    <t xml:space="preserve">Note stock first</t>
  </si>
  <si>
    <t xml:space="preserve">Note a product's stock</t>
  </si>
  <si>
    <t xml:space="preserve">Qty 2</t>
  </si>
  <si>
    <t xml:space="preserve">Stock reduces by 2 and is restored on cancel (A5)</t>
  </si>
  <si>
    <t xml:space="preserve">Place a COD order for 2 units</t>
  </si>
  <si>
    <t xml:space="preserve">Check stock in admin and shop</t>
  </si>
  <si>
    <t xml:space="preserve">TC_BW_ORD_004</t>
  </si>
  <si>
    <t xml:space="preserve">Verify ordering more than available stock</t>
  </si>
  <si>
    <t xml:space="preserve">Set stock to 2</t>
  </si>
  <si>
    <t xml:space="preserve">Stock 2, qty 3</t>
  </si>
  <si>
    <t xml:space="preserve">Quantity limited or blocked with a clear message; stock never goes negative</t>
  </si>
  <si>
    <t xml:space="preserve">Add 3 to the bag and check out</t>
  </si>
  <si>
    <t xml:space="preserve">Restore stock</t>
  </si>
  <si>
    <t xml:space="preserve">TC_BW_ORD_005</t>
  </si>
  <si>
    <t xml:space="preserve">Verify order reference uniqueness and format</t>
  </si>
  <si>
    <t xml:space="preserve">Two or more orders</t>
  </si>
  <si>
    <t xml:space="preserve">Place two orders</t>
  </si>
  <si>
    <t xml:space="preserve">BHU-...</t>
  </si>
  <si>
    <t xml:space="preserve">References are unique, correctly formatted and sequential or random as designed</t>
  </si>
  <si>
    <t xml:space="preserve">Compare references</t>
  </si>
  <si>
    <t xml:space="preserve">TC_BW_DISC_002</t>
  </si>
  <si>
    <t xml:space="preserve">Verify discount edge cases</t>
  </si>
  <si>
    <t xml:space="preserve">Codes from ADM_010; code box is in the checkout order summary</t>
  </si>
  <si>
    <t xml:space="preserve">Test lower case, extra spaces, same code twice, ₹699 vs ₹700 minimum</t>
  </si>
  <si>
    <t xml:space="preserve">₹100 off with ₹700 minimum: Beetroot + Kaolin = ₹698 (refused) vs Beetroot + Orange = ₹748 (applies); lower case, spaces, same code twice</t>
  </si>
  <si>
    <t xml:space="preserve">Rules applied exactly; total never negative; shipping and COD fee are not discounted; behaviour of free shipping after the discount is consistent (see DISC_004)</t>
  </si>
  <si>
    <t xml:space="preserve">Check 10 percent rounding</t>
  </si>
  <si>
    <t xml:space="preserve">Refresh with code applied</t>
  </si>
  <si>
    <t xml:space="preserve">TC_BW_DISC_003</t>
  </si>
  <si>
    <t xml:space="preserve">Verify expired and paused codes at checkout</t>
  </si>
  <si>
    <t xml:space="preserve">Apply the expired code</t>
  </si>
  <si>
    <t xml:space="preserve">3 codes</t>
  </si>
  <si>
    <t xml:space="preserve">Each refused with a clear message</t>
  </si>
  <si>
    <t xml:space="preserve">Apply the paused code</t>
  </si>
  <si>
    <t xml:space="preserve">Apply the deleted code</t>
  </si>
  <si>
    <t xml:space="preserve">TC_BW_EML_003</t>
  </si>
  <si>
    <t xml:space="preserve">Verify email content, rendering and deliverability</t>
  </si>
  <si>
    <t xml:space="preserve">Email received</t>
  </si>
  <si>
    <t xml:space="preserve">Open on Gmail app and desktop</t>
  </si>
  <si>
    <t xml:space="preserve">Name with apostrophe</t>
  </si>
  <si>
    <t xml:space="preserve">Renders cleanly on mobile and desktop; links work; authentication results pass</t>
  </si>
  <si>
    <t xml:space="preserve">Check logo, layout, links, spelling and special characters in names</t>
  </si>
  <si>
    <t xml:space="preserve">View original headers for SPF, DKIM and DMARC</t>
  </si>
  <si>
    <t xml:space="preserve">TC_BW_TRK_003</t>
  </si>
  <si>
    <t xml:space="preserve">Verify tracking negative cases and privacy</t>
  </si>
  <si>
    <t xml:space="preserve">Enter invalid, lower case, spaced and another order's reference</t>
  </si>
  <si>
    <t xml:space="preserve">Real format BHU-YYYYMMDD-XXXXXX (6-character suffix) versus the placeholder BHU-YYYYMMDD-XXXXXX (4 characters); lower case, spaces, wrong date; mobile 9 digits, 11 digits, +91 prefix, letters; mobile with no orders</t>
  </si>
  <si>
    <t xml:space="preserve">Friendly 'not found' or validation message; one field accepts either a reference or a 10-digit mobile; no data of other customers exposed; no full address or phone shown</t>
  </si>
  <si>
    <t xml:space="preserve">Enter a mobile with no orders</t>
  </si>
  <si>
    <t xml:space="preserve">Try adjacent reference numbers</t>
  </si>
  <si>
    <t xml:space="preserve">TC_BW_TRK_004</t>
  </si>
  <si>
    <t xml:space="preserve">Verify tracking status follows admin status</t>
  </si>
  <si>
    <t xml:space="preserve">Change Manual Status in admin</t>
  </si>
  <si>
    <t xml:space="preserve">Statuses available</t>
  </si>
  <si>
    <t xml:space="preserve">Tracking status matches admin status each time</t>
  </si>
  <si>
    <t xml:space="preserve">Check Track Order after each change</t>
  </si>
  <si>
    <t xml:space="preserve">TC_BW_POL_002</t>
  </si>
  <si>
    <t xml:space="preserve">Verify policy content matches site behaviour</t>
  </si>
  <si>
    <t xml:space="preserve">Policy pages open</t>
  </si>
  <si>
    <t xml:space="preserve">Compare Terms statements with the site (prices GST-inclusive, shipping and COD fee shown at checkout, contract formed when dispatch is confirmed, 18+ rule, full refund on cancelled paid orders)</t>
  </si>
  <si>
    <t xml:space="preserve">Privacy, Terms, Shipping, Refunds</t>
  </si>
  <si>
    <t xml:space="preserve">No contradictions between policies, checkout, emails and admin behaviour; contact details identical everywhere; no placeholder text</t>
  </si>
  <si>
    <t xml:space="preserve">Compare Shipping and Refunds pages with PIN checker, ₹599 free shipping and COD limit</t>
  </si>
  <si>
    <t xml:space="preserve">Check Privacy statements (bag kept in browser, no card data stored, grievance officer details)</t>
  </si>
  <si>
    <t xml:space="preserve">Check 'Last updated 11 September 2026' on Privacy and Terms</t>
  </si>
  <si>
    <t xml:space="preserve">TC_BW_ADM_012</t>
  </si>
  <si>
    <t xml:space="preserve">Admin security</t>
  </si>
  <si>
    <t xml:space="preserve">Verify admin access control and session</t>
  </si>
  <si>
    <t xml:space="preserve">Signed out</t>
  </si>
  <si>
    <t xml:space="preserve">Open admin order, invoice and product URLs while signed out</t>
  </si>
  <si>
    <t xml:space="preserve">Admin URLs</t>
  </si>
  <si>
    <t xml:space="preserve">Signed-out access redirects to sign-in; no data after Back; lockout or delay on repeated failures; password never shown</t>
  </si>
  <si>
    <t xml:space="preserve">Sign out then press Back</t>
  </si>
  <si>
    <t xml:space="preserve">Leave the session idle</t>
  </si>
  <si>
    <t xml:space="preserve">Try several wrong passwords</t>
  </si>
  <si>
    <t xml:space="preserve">TC_BW_ADM_013</t>
  </si>
  <si>
    <t xml:space="preserve">Verify product form validation</t>
  </si>
  <si>
    <t xml:space="preserve">Save with empty name</t>
  </si>
  <si>
    <t xml:space="preserve">Invalid values</t>
  </si>
  <si>
    <t xml:space="preserve">Clear validation errors; no invalid product saved; storefront stays clean</t>
  </si>
  <si>
    <t xml:space="preserve">Enter negative, decimal and huge price and stock</t>
  </si>
  <si>
    <t xml:space="preserve">Set price above MRP</t>
  </si>
  <si>
    <t xml:space="preserve">Use special characters and a 500 character description</t>
  </si>
  <si>
    <t xml:space="preserve">TC_BW_ADM_014</t>
  </si>
  <si>
    <t xml:space="preserve">Verify image upload types and sizes</t>
  </si>
  <si>
    <t xml:space="preserve">Image files ready</t>
  </si>
  <si>
    <t xml:space="preserve">Upload JPG, PNG, WebP and iPhone HEIC</t>
  </si>
  <si>
    <t xml:space="preserve">Various files</t>
  </si>
  <si>
    <t xml:space="preserve">Supported types work and are not stretched; unsupported types are rejected with a message</t>
  </si>
  <si>
    <t xml:space="preserve">Upload a PDF and a 10 MB image</t>
  </si>
  <si>
    <t xml:space="preserve">Use a filename with spaces and symbols</t>
  </si>
  <si>
    <t xml:space="preserve">TC_BW_ADM_015</t>
  </si>
  <si>
    <t xml:space="preserve">Verify deleting a product that is in a bag or past order</t>
  </si>
  <si>
    <t xml:space="preserve">Add a product to a bag</t>
  </si>
  <si>
    <t xml:space="preserve">Test product</t>
  </si>
  <si>
    <t xml:space="preserve">Bag handles the missing item; past orders still show the product details</t>
  </si>
  <si>
    <t xml:space="preserve">Delete it in admin</t>
  </si>
  <si>
    <t xml:space="preserve">Refresh the bag and check old orders</t>
  </si>
  <si>
    <t xml:space="preserve">TC_BW_ADM_016</t>
  </si>
  <si>
    <t xml:space="preserve">Verify editing name, description and category</t>
  </si>
  <si>
    <t xml:space="preserve">Edit name, description and category</t>
  </si>
  <si>
    <t xml:space="preserve">Changes appear after refresh in the right tab; restored cleanly</t>
  </si>
  <si>
    <t xml:space="preserve">Check the shop and category tabs</t>
  </si>
  <si>
    <t xml:space="preserve">Restore</t>
  </si>
  <si>
    <t xml:space="preserve">TC_BW_ADM_017</t>
  </si>
  <si>
    <t xml:space="preserve">Verify invoice calculations</t>
  </si>
  <si>
    <t xml:space="preserve">Orders from A3</t>
  </si>
  <si>
    <t xml:space="preserve">Recalculate taxable value and CGST, SGST or IGST by hand</t>
  </si>
  <si>
    <t xml:space="preserve">Aligarh and Delhi orders</t>
  </si>
  <si>
    <t xml:space="preserve">All amounts correct to 2 decimals; invoice numbers unique and sequential</t>
  </si>
  <si>
    <t xml:space="preserve">Check rounding, total, invoice number sequence and date</t>
  </si>
  <si>
    <t xml:space="preserve">TC_BW_ADM_018</t>
  </si>
  <si>
    <t xml:space="preserve">Verify orders list with many orders and status changes</t>
  </si>
  <si>
    <t xml:space="preserve">Several orders</t>
  </si>
  <si>
    <t xml:space="preserve">Check sorting, search or filter if present</t>
  </si>
  <si>
    <t xml:space="preserve">3+ orders</t>
  </si>
  <si>
    <t xml:space="preserve">List accurate and readable; status changes saved; no wrong transitions</t>
  </si>
  <si>
    <t xml:space="preserve">Change status through each option</t>
  </si>
  <si>
    <t xml:space="preserve">Check list after cancel</t>
  </si>
  <si>
    <t xml:space="preserve">TC_BW_UI_001</t>
  </si>
  <si>
    <t xml:space="preserve">Verify layout at key widths and orientations</t>
  </si>
  <si>
    <t xml:space="preserve">DevTools</t>
  </si>
  <si>
    <t xml:space="preserve">Test 320, 375, 414, 768, 1024, 1440, 1920 px</t>
  </si>
  <si>
    <t xml:space="preserve">Widths listed</t>
  </si>
  <si>
    <t xml:space="preserve">No clipped or overlapping content or sideways scroll; touch targets at least 44px</t>
  </si>
  <si>
    <t xml:space="preserve">Rotate mobile to landscape</t>
  </si>
  <si>
    <t xml:space="preserve">TC_BW_UI_002</t>
  </si>
  <si>
    <t xml:space="preserve">Visual</t>
  </si>
  <si>
    <t xml:space="preserve">Verify images, alignment and the empty areas beside the carousel</t>
  </si>
  <si>
    <t xml:space="preserve">Home page at 100% zoom</t>
  </si>
  <si>
    <t xml:space="preserve">Scroll every page and check images</t>
  </si>
  <si>
    <t xml:space="preserve">1440 and 1920 px</t>
  </si>
  <si>
    <t xml:space="preserve">No broken or blurry images; no overlap; carousel side areas look intentional</t>
  </si>
  <si>
    <t xml:space="preserve">Check text over images</t>
  </si>
  <si>
    <t xml:space="preserve">Check side areas of the carousel on wide screens</t>
  </si>
  <si>
    <t xml:space="preserve">TC_BW_UI_003</t>
  </si>
  <si>
    <t xml:space="preserve">Verify page speed and image weight</t>
  </si>
  <si>
    <t xml:space="preserve">Chrome Lighthouse</t>
  </si>
  <si>
    <t xml:space="preserve">Run Lighthouse mobile and desktop on Home, Collection, Product</t>
  </si>
  <si>
    <t xml:space="preserve">3 pages</t>
  </si>
  <si>
    <t xml:space="preserve">Usable within about 3 seconds on 4G; no layout shift; heavy assets reported</t>
  </si>
  <si>
    <t xml:space="preserve">Throttle to Slow 4G</t>
  </si>
  <si>
    <t xml:space="preserve">Note LCP, CLS and heavy images or video</t>
  </si>
  <si>
    <t xml:space="preserve">TC_BW_UI_004</t>
  </si>
  <si>
    <t xml:space="preserve">Verify keyboard, focus, contrast and labels</t>
  </si>
  <si>
    <t xml:space="preserve">Tab through the page and the bag</t>
  </si>
  <si>
    <t xml:space="preserve">Keyboard only</t>
  </si>
  <si>
    <t xml:space="preserve">Logical focus order; visible focus; labels present; contrast acceptable</t>
  </si>
  <si>
    <t xml:space="preserve">Check focus is trapped in the open bag</t>
  </si>
  <si>
    <t xml:space="preserve">Check contrast on dark sections</t>
  </si>
  <si>
    <t xml:space="preserve">Check alt text and button labels</t>
  </si>
  <si>
    <t xml:space="preserve">TC_BW_UI_005</t>
  </si>
  <si>
    <t xml:space="preserve">Technical</t>
  </si>
  <si>
    <t xml:space="preserve">Verify console errors and failed requests</t>
  </si>
  <si>
    <t xml:space="preserve">Load every page</t>
  </si>
  <si>
    <t xml:space="preserve">No red errors, no 4xx or 5xx requests, no mixed content</t>
  </si>
  <si>
    <t xml:space="preserve">Review Console and Network</t>
  </si>
  <si>
    <t xml:space="preserve">Check for mixed content</t>
  </si>
  <si>
    <t xml:space="preserve">TC_BW_UI_006</t>
  </si>
  <si>
    <t xml:space="preserve">Verify HTTPS, redirects and certificate</t>
  </si>
  <si>
    <t xml:space="preserve">Browser</t>
  </si>
  <si>
    <t xml:space="preserve">Open http:// and www versions</t>
  </si>
  <si>
    <t xml:space="preserve">http and www URLs</t>
  </si>
  <si>
    <t xml:space="preserve">Redirects to the single https URL; valid certificate</t>
  </si>
  <si>
    <t xml:space="preserve">Check the padlock</t>
  </si>
  <si>
    <t xml:space="preserve">TC_BW_UI_007</t>
  </si>
  <si>
    <t xml:space="preserve">Verify titles, meta tags, favicon, robots and sitemap</t>
  </si>
  <si>
    <t xml:space="preserve">View page source meta title and description</t>
  </si>
  <si>
    <t xml:space="preserve">All main pages</t>
  </si>
  <si>
    <t xml:space="preserve">Unique titles and descriptions; favicon present; indexing settings match launch intent (confirm with client)</t>
  </si>
  <si>
    <t xml:space="preserve">Check favicon and share preview</t>
  </si>
  <si>
    <t xml:space="preserve">Open /robots.txt and /sitemap.xml</t>
  </si>
  <si>
    <t xml:space="preserve">TC_BW_UI_008</t>
  </si>
  <si>
    <t xml:space="preserve">Verify Firefox and Edge</t>
  </si>
  <si>
    <t xml:space="preserve">Browsers installed</t>
  </si>
  <si>
    <t xml:space="preserve">Run Home, Product, Bag and Checkout</t>
  </si>
  <si>
    <t xml:space="preserve">Firefox, Edge</t>
  </si>
  <si>
    <t xml:space="preserve">Parity with Chrome</t>
  </si>
  <si>
    <t xml:space="preserve">Compare with Chrome</t>
  </si>
  <si>
    <t xml:space="preserve">TC_BW_UI_009</t>
  </si>
  <si>
    <t xml:space="preserve">Verify third-party content failure (Instagram, fonts, WhatsApp)</t>
  </si>
  <si>
    <t xml:space="preserve">DevTools or ad blocker</t>
  </si>
  <si>
    <t xml:space="preserve">Block the Instagram embed and external fonts</t>
  </si>
  <si>
    <t xml:space="preserve">Blocked requests</t>
  </si>
  <si>
    <t xml:space="preserve">Page still renders; layout intact; sensible fallback</t>
  </si>
  <si>
    <t xml:space="preserve">Reload Home</t>
  </si>
  <si>
    <t xml:space="preserve">TC_BW_EXP_001</t>
  </si>
  <si>
    <t xml:space="preserve">Time-boxed exploratory session (60 minutes) per device</t>
  </si>
  <si>
    <t xml:space="preserve">Charter ready</t>
  </si>
  <si>
    <t xml:space="preserve">Test like a first-time customer on a phone</t>
  </si>
  <si>
    <t xml:space="preserve">Free testing</t>
  </si>
  <si>
    <t xml:space="preserve">No crashes or confusing behaviour; usability issues logged</t>
  </si>
  <si>
    <t xml:space="preserve">Try odd orders: many items, long names, back and forth</t>
  </si>
  <si>
    <t xml:space="preserve">Note anything confusing</t>
  </si>
  <si>
    <t xml:space="preserve">TC_BW_CHK_010</t>
  </si>
  <si>
    <t xml:space="preserve">Checkout totals</t>
  </si>
  <si>
    <t xml:space="preserve">Verify the COD fee of ₹30 across all places</t>
  </si>
  <si>
    <t xml:space="preserve">Items in bag, COD selected</t>
  </si>
  <si>
    <t xml:space="preserve">Check subtotal, shipping, COD fee and total in the checkout summary</t>
  </si>
  <si>
    <t xml:space="preserve">Beetroot x1: 399+49+30=478. Beetroot + Orange Peel: 748+0+30=778 (matches the existing COD order in admin, so the fee applies even when shipping is free)</t>
  </si>
  <si>
    <t xml:space="preserve">Total = subtotal - discount + shipping + COD fee; the fee applies only to COD; fee and total are identical everywhere; bag total (₹448) differing from checkout (₹478) is flagged for client confirmation (Terms say the fee is shown at checkout)</t>
  </si>
  <si>
    <t xml:space="preserve">Check the button amount</t>
  </si>
  <si>
    <t xml:space="preserve">Repeat with a bag of ₹599 or more and with a discount</t>
  </si>
  <si>
    <t xml:space="preserve">Compare with confirmation page, email, admin and invoice</t>
  </si>
  <si>
    <t xml:space="preserve">TC_BW_BAG_010</t>
  </si>
  <si>
    <t xml:space="preserve">Verify GST-inclusive amount and totals in the bag</t>
  </si>
  <si>
    <t xml:space="preserve">Prices known</t>
  </si>
  <si>
    <t xml:space="preserve">Add Beetroot and read 'Inclusive of ₹60.86 GST'</t>
  </si>
  <si>
    <t xml:space="preserve">399 x 18/118 = 60.86</t>
  </si>
  <si>
    <t xml:space="preserve">GST text matches the maths for every combination; confirm with client whether shipping and the COD fee are inside the GST figure</t>
  </si>
  <si>
    <t xml:space="preserve">Recalculate GST as price x 18/118</t>
  </si>
  <si>
    <t xml:space="preserve">Repeat for 2 and 3 products and for quantities</t>
  </si>
  <si>
    <t xml:space="preserve">TC_BW_BAG_011</t>
  </si>
  <si>
    <t xml:space="preserve">Verify the 'Pairs well with your ritual' suggestions</t>
  </si>
  <si>
    <t xml:space="preserve">Click + ADD on a suggestion</t>
  </si>
  <si>
    <t xml:space="preserve">Orange Peel 349, Rose Petal 499</t>
  </si>
  <si>
    <t xml:space="preserve">Suggestions exclude items already in the bag; + ADD adds one unit and updates totals; empty suggestion area handled cleanly</t>
  </si>
  <si>
    <t xml:space="preserve">Check totals and progress bar</t>
  </si>
  <si>
    <t xml:space="preserve">Add every product so no suggestion remains</t>
  </si>
  <si>
    <t xml:space="preserve">TC_BW_PDP_006</t>
  </si>
  <si>
    <t xml:space="preserve">Verify tabs, ritual steps, patch test advice, embed and related products</t>
  </si>
  <si>
    <t xml:space="preserve">Read the Ritual steps (Measure, Blend, Rinse) and Patch Test First advice</t>
  </si>
  <si>
    <t xml:space="preserve">Beetroot page</t>
  </si>
  <si>
    <t xml:space="preserve">Content complete and correct; embed plays; related cards link to the right products (not itself) and look finished</t>
  </si>
  <si>
    <t xml:space="preserve">Open each tab</t>
  </si>
  <si>
    <t xml:space="preserve">Play the Instagram embed and click Open reel on Instagram</t>
  </si>
  <si>
    <t xml:space="preserve">Check the 'Pair with more from the collection' cards and View all</t>
  </si>
  <si>
    <t xml:space="preserve">TC_BW_PDP_007</t>
  </si>
  <si>
    <t xml:space="preserve">Verify Buy Now / Instant Checkout</t>
  </si>
  <si>
    <t xml:space="preserve">Empty bag, then bag with items</t>
  </si>
  <si>
    <t xml:space="preserve">Click Buy Now with quantity 1 and 3</t>
  </si>
  <si>
    <t xml:space="preserve">Beetroot</t>
  </si>
  <si>
    <t xml:space="preserve">Goes straight to checkout with the right item and quantity; behaviour with existing bag items is consistent and totals correct</t>
  </si>
  <si>
    <t xml:space="preserve">Repeat with items already in the bag</t>
  </si>
  <si>
    <t xml:space="preserve">Return from checkout</t>
  </si>
  <si>
    <t xml:space="preserve">TC_BW_PDP_008</t>
  </si>
  <si>
    <t xml:space="preserve">Verify stock text and the product page quantity selector</t>
  </si>
  <si>
    <t xml:space="preserve">Compare 'In Stock (24 units available)' with admin stock</t>
  </si>
  <si>
    <t xml:space="preserve">Stock 24</t>
  </si>
  <si>
    <t xml:space="preserve">Displayed stock equals admin stock and updates after orders and cancellations; quantity limits respected</t>
  </si>
  <si>
    <t xml:space="preserve">Place or cancel an order and recheck</t>
  </si>
  <si>
    <t xml:space="preserve">Try quantity above stock and above 10</t>
  </si>
  <si>
    <t xml:space="preserve">TC_BW_PDP_009</t>
  </si>
  <si>
    <t xml:space="preserve">Verify safety and claim wording</t>
  </si>
  <si>
    <t xml:space="preserve">Check 'Formulated for external ritual use only. Not for ingestion.' and Patch Test advice on all 5 products</t>
  </si>
  <si>
    <t xml:space="preserve">All 5 products. FAQ and Terms name only Beetroot Powder as external use only; confirm the wording for the other four</t>
  </si>
  <si>
    <t xml:space="preserve">Safety text present on every product, correctly spelled and consistent with FAQ, Terms and pouch specifications</t>
  </si>
  <si>
    <t xml:space="preserve">Check claims (100% pure botanical, 100% net weight, vegan)</t>
  </si>
  <si>
    <t xml:space="preserve">TC_BW_COLL_003</t>
  </si>
  <si>
    <t xml:space="preserve">Verify Sort products with tabs and search</t>
  </si>
  <si>
    <t xml:space="preserve">Select each Sort option</t>
  </si>
  <si>
    <t xml:space="preserve">All sort options</t>
  </si>
  <si>
    <t xml:space="preserve">List order is correct for each option; combinations work; no products lost or duplicated</t>
  </si>
  <si>
    <t xml:space="preserve">Combine sorting with a tab and a search</t>
  </si>
  <si>
    <t xml:space="preserve">Refresh and use Back</t>
  </si>
  <si>
    <t xml:space="preserve">TC_BW_COLL_004</t>
  </si>
  <si>
    <t xml:space="preserve">Verify product card buttons and the concierge banner</t>
  </si>
  <si>
    <t xml:space="preserve">Click Add to bag on a card</t>
  </si>
  <si>
    <t xml:space="preserve">5 cards</t>
  </si>
  <si>
    <t xml:space="preserve">Add to bag opens the bag with the right item; the second button and banner open their intended destination</t>
  </si>
  <si>
    <t xml:space="preserve">Click the second button on each card</t>
  </si>
  <si>
    <t xml:space="preserve">Click the banner button 'Select any pure botanicals. Direct concierge consultations.'</t>
  </si>
  <si>
    <t xml:space="preserve">TC_BW_PAY_003</t>
  </si>
  <si>
    <t xml:space="preserve">Payment messaging</t>
  </si>
  <si>
    <t xml:space="preserve">Verify payment claims match what is actually available</t>
  </si>
  <si>
    <t xml:space="preserve">Online payment is 'Opening soon'</t>
  </si>
  <si>
    <t xml:space="preserve">Read the top bar ('payment gateway &amp; COD available'), footer ('Secure payment gateway gateway'), product page ('Secure Payment Gateway UPI, cards, netbanking, COD') and checkout ('Powered by payment gateway, zero payment surcharge')</t>
  </si>
  <si>
    <t xml:space="preserve">Messages do not promise online payment before it works, or the client confirms the wording is accepted for launch</t>
  </si>
  <si>
    <t xml:space="preserve">Compare with the greyed online option</t>
  </si>
  <si>
    <t xml:space="preserve">TC_BW_NAV_006</t>
  </si>
  <si>
    <t xml:space="preserve">Verify The Ritual and Our Story pages</t>
  </si>
  <si>
    <t xml:space="preserve">Open /ritual: read 'A few quiet minutes', the 3 steps, the 4 cards (One ingredient, 100% pure, Prepared fresh, 100 g pouches) and click 'Explore the collection'</t>
  </si>
  <si>
    <t xml:space="preserve">/ritual, /story</t>
  </si>
  <si>
    <t xml:space="preserve">Both pages load fully; images, video and embed work; every button goes to the intended place; claims (100 g pouches, one ingredient) match the products</t>
  </si>
  <si>
    <t xml:space="preserve">Open /story: read the sections, click 'Meet the collection'</t>
  </si>
  <si>
    <t xml:space="preserve">Play the 'A considered moment' video and the Instagram embed</t>
  </si>
  <si>
    <t xml:space="preserve">Click 'Visit Instagram' and 'Open reel on Instagram'</t>
  </si>
  <si>
    <t xml:space="preserve">TC_BW_NAV_007</t>
  </si>
  <si>
    <t xml:space="preserve">Verify Questions &amp; FAQ page</t>
  </si>
  <si>
    <t xml:space="preserve">Open /questions</t>
  </si>
  <si>
    <t xml:space="preserve">4 FAQ items</t>
  </si>
  <si>
    <t xml:space="preserve">Accordions work with mouse, touch and keyboard; answers agree with product pages and Terms (external use, patch test, storage); chevron state matches open or closed</t>
  </si>
  <si>
    <t xml:space="preserve">Expand and collapse each of the 4 questions (preparation, mask time, internal use, storing the pouch)</t>
  </si>
  <si>
    <t xml:space="preserve">Check whether one or many can stay open</t>
  </si>
  <si>
    <t xml:space="preserve">Read 'Follow the pouch. Prepare fresh.' text</t>
  </si>
  <si>
    <t xml:space="preserve">TC_BW_NAV_008</t>
  </si>
  <si>
    <t xml:space="preserve">Verify Contact page channels and WhatsApp links</t>
  </si>
  <si>
    <t xml:space="preserve">Open /contact</t>
  </si>
  <si>
    <t xml:space="preserve">Contact page has no form </t>
  </si>
  <si>
    <t xml:space="preserve">WhatsApp opens the right number with the pre-filled enquiry; social cards open the correct profiles in a new tab; phone and email links work; details match the footer, Terms and Privacy pages</t>
  </si>
  <si>
    <t xml:space="preserve">Click the WhatsApp BHUMAE card and check the number and pre-filled text</t>
  </si>
  <si>
    <t xml:space="preserve">Click Instagram, Facebook and Pinterest cards</t>
  </si>
  <si>
    <t xml:space="preserve">Click Call us (tel:) and Email (mailto:)</t>
  </si>
  <si>
    <t xml:space="preserve">Click 'Read common questions' and 'Book a consultation'</t>
  </si>
  <si>
    <t xml:space="preserve">TC_BW_SEC_001</t>
  </si>
  <si>
    <t xml:space="preserve">Verify the public 'Store Admin &amp; Catalog' footer link</t>
  </si>
  <si>
    <t xml:space="preserve">Click the link signed out</t>
  </si>
  <si>
    <t xml:space="preserve">Footer link</t>
  </si>
  <si>
    <t xml:space="preserve">Only sign-in is visible; no admin data exposed; client confirms the link is meant to be public</t>
  </si>
  <si>
    <t xml:space="preserve">Check the page shows only the sign-in screen</t>
  </si>
  <si>
    <t xml:space="preserve">Check /admin is not indexable (robots or noindex) and no data loads before sign-in</t>
  </si>
  <si>
    <t xml:space="preserve">TC_BW_ADM_019</t>
  </si>
  <si>
    <t xml:space="preserve">Verify the inline stock stepper (-5, +5 and typed values)</t>
  </si>
  <si>
    <t xml:space="preserve">Admin access; baseline stock Beetroot 24, Orange Peel 24, Rose 25, Kaolin 25, Moringa 25 (total 123)</t>
  </si>
  <si>
    <t xml:space="preserve">Click +5 and -5 on a product</t>
  </si>
  <si>
    <t xml:space="preserve">Beetroot 24</t>
  </si>
  <si>
    <t xml:space="preserve">Stock changes save once, show a confirmation or the new value after refresh, never go below 0, and the storefront text 'In Stock (N units available)' and Overview inventory total follow; status switches to out of stock at 0</t>
  </si>
  <si>
    <t xml:space="preserve">Type a value directly and leave the field</t>
  </si>
  <si>
    <t xml:space="preserve">Try to go below 0 and type a negative or non-numeric value</t>
  </si>
  <si>
    <t xml:space="preserve">Check the storefront and the Overview total after each change</t>
  </si>
  <si>
    <t xml:space="preserve">Restore the original stock</t>
  </si>
  <si>
    <t xml:space="preserve">TC_BW_ADM_020</t>
  </si>
  <si>
    <t xml:space="preserve">Admin overview</t>
  </si>
  <si>
    <t xml:space="preserve">Verify Overview metrics</t>
  </si>
  <si>
    <t xml:space="preserve">Compare Total realized revenue, Total orders placed (and awaiting fulfilment), Active SKUs and Total inventory units with the Orders and Catalog tabs</t>
  </si>
  <si>
    <t xml:space="preserve">Baseline: revenue 0, orders 2, SKUs 5, units 123</t>
  </si>
  <si>
    <t xml:space="preserve">Numbers match the data; revenue counts only paid and delivered orders; 'awaiting fulfilment' counts pending COD orders (currently 0 while one COD order is pending, confirm intent); category count is correct; date format is consistent</t>
  </si>
  <si>
    <t xml:space="preserve">Place and cancel an order and recheck</t>
  </si>
  <si>
    <t xml:space="preserve">TC_BW_ADM_021</t>
  </si>
  <si>
    <t xml:space="preserve">Admin payment settings</t>
  </si>
  <si>
    <t xml:space="preserve">Verify Payment Gateway tab settings and their effect on the storefront</t>
  </si>
  <si>
    <t xml:space="preserve">Admin access; change settings only in a quiet period and restore</t>
  </si>
  <si>
    <t xml:space="preserve">Read the payment gateway panel (Test mode badge, key ID, mode choice, webhook URL) but do not enter keys</t>
  </si>
  <si>
    <t xml:space="preserve">COD fee 30, max 5000</t>
  </si>
  <si>
    <t xml:space="preserve">COD fee and limit shown on the storefront follow the admin values; disabling COD blocks COD cleanly; status messages (test mode, 'live payments enabled', Opening soon on the storefront) are consistent; no secret is fully displayed</t>
  </si>
  <si>
    <t xml:space="preserve">Change COD handling fee to 40 and max order value to 4000, save, check checkout and the COD limit message, then restore 30 and 5000</t>
  </si>
  <si>
    <t xml:space="preserve">Untick COD enabled, check checkout, then restore</t>
  </si>
  <si>
    <t xml:space="preserve">Review the Direct UPI QR and VPA panel</t>
  </si>
  <si>
    <t xml:space="preserve">TC_BW_ADM_022</t>
  </si>
  <si>
    <t xml:space="preserve">Verify orders table content, formatting and actions by status</t>
  </si>
  <si>
    <t xml:space="preserve">At least one COD and one cancelled order</t>
  </si>
  <si>
    <t xml:space="preserve">Read each column (reference, date and time, customer, address, total, payment type, status)</t>
  </si>
  <si>
    <t xml:space="preserve">Existing orders and your own</t>
  </si>
  <si>
    <t xml:space="preserve">Text is spaced and wrapped properly (the screenshot shows name and 'Ph:' and address lines running together); actions match the status; reference format BHU-YYYYMMDD-XXXXXX; times shown in IST</t>
  </si>
  <si>
    <t xml:space="preserve">Check spacing between name and phone and between address lines</t>
  </si>
  <si>
    <t xml:space="preserve">Compare actions for PENDING_COD (Ship, Invoice, Resend emails, Manual status) with CANCELLED (Manual status only)</t>
  </si>
  <si>
    <t xml:space="preserve">Check newest-first order and long names or addresses</t>
  </si>
  <si>
    <t xml:space="preserve">TC_BW_ADM_023</t>
  </si>
  <si>
    <t xml:space="preserve">Admin catalog</t>
  </si>
  <si>
    <t xml:space="preserve">Verify category chips and Add Catalog Category</t>
  </si>
  <si>
    <t xml:space="preserve">Compare each chip count with the products listed (Botanical Powders 2, Floral Edits 1, Clays &amp; Minerals 1, Hair &amp; Scalp Rituals 1, Wellness Sets &amp; Combos 0)</t>
  </si>
  <si>
    <t xml:space="preserve">New category 'QA Test'</t>
  </si>
  <si>
    <t xml:space="preserve">Counts are correct; chip highlight is not confusing; a new category appears as a storefront tab only when it has products; empty categories stay hidden; cleanup leaves the catalog unchanged</t>
  </si>
  <si>
    <t xml:space="preserve">Check 'All SKUs' and 'All Collection' chips and their highlight</t>
  </si>
  <si>
    <t xml:space="preserve">Add a test category, assign a product, check the storefront tab, then delete it</t>
  </si>
  <si>
    <t xml:space="preserve">TC_BW_PIN_012</t>
  </si>
  <si>
    <t xml:space="preserve">Cross-check storefront PIN result against the admin courier partner PIN tester</t>
  </si>
  <si>
    <t xml:space="preserve">Admin access; confirm with the developer that Check PIN is read-only</t>
  </si>
  <si>
    <t xml:space="preserve">Enter each PIN in the admin Live Pincode Serviceability Tester</t>
  </si>
  <si>
    <t xml:space="preserve">110001, 560001, 400001, 202002, 700001, 600001, 744101, 999999</t>
  </si>
  <si>
    <t xml:space="preserve">Storefront and admin agree on serviceable, not served and invalid for every PIN; do not click Ship via courier partner</t>
  </si>
  <si>
    <t xml:space="preserve">Enter the same PIN on the storefront checkout</t>
  </si>
  <si>
    <t xml:space="preserve">Compare the results</t>
  </si>
  <si>
    <t xml:space="preserve">TC_BW_SEC_002</t>
  </si>
  <si>
    <t xml:space="preserve">Security and privacy</t>
  </si>
  <si>
    <t xml:space="preserve">Verify privacy claims against actual behaviour</t>
  </si>
  <si>
    <t xml:space="preserve">DevTools Network tab open</t>
  </si>
  <si>
    <t xml:space="preserve">Add items to the bag and watch for server calls before checkout</t>
  </si>
  <si>
    <t xml:space="preserve">Privacy policy</t>
  </si>
  <si>
    <t xml:space="preserve">Bag data stays in the browser until checkout; no card data handled by the site; third-party content is limited to the Instagram embed and the policy wording is acceptable to the client</t>
  </si>
  <si>
    <t xml:space="preserve">Place a COD order and confirm no card or UPI data is requested or stored</t>
  </si>
  <si>
    <t xml:space="preserve">Load a page with the Instagram embed and note third-party requests and cookies</t>
  </si>
  <si>
    <t xml:space="preserve">Compare with the Privacy policy text</t>
  </si>
  <si>
    <t xml:space="preserve">TC_BW_DISC_004</t>
  </si>
  <si>
    <t xml:space="preserve">Verify discount maths with shipping, COD fee, GST and documents</t>
  </si>
  <si>
    <t xml:space="preserve">Codes from ADM_010</t>
  </si>
  <si>
    <t xml:space="preserve">Apply a 10% code to Beetroot + Orange (748)</t>
  </si>
  <si>
    <t xml:space="preserve">748 less 10% = 673.20, shipping 0, COD fee 30, total 703.20 (confirm rounding)</t>
  </si>
  <si>
    <t xml:space="preserve">Discount comes off products only; whether free shipping uses the total before or after the discount is consistent and agreed; GST on the invoice is calculated on the discounted value; the code used is visible in admin and documents</t>
  </si>
  <si>
    <t xml:space="preserve">Apply a code that drops the products total below ₹599</t>
  </si>
  <si>
    <t xml:space="preserve">Check shipping, COD fee and total</t>
  </si>
  <si>
    <t xml:space="preserve">Place a COD order and compare confirmation, email, admin and invoice</t>
  </si>
  <si>
    <t xml:space="preserve">TC_BW_ADM_025</t>
  </si>
  <si>
    <t xml:space="preserve">Admin video and reels</t>
  </si>
  <si>
    <t xml:space="preserve">Verify the Video &amp; Reels tab management</t>
  </si>
  <si>
    <t xml:space="preserve">Admin access; restore anything changed</t>
  </si>
  <si>
    <t xml:space="preserve">Open Video Testimonials (0) and click Add Video Testimonial: check the form and validation without saving junk</t>
  </si>
  <si>
    <t xml:space="preserve">Valid reel link, 'abc', a YouTube link</t>
  </si>
  <si>
    <t xml:space="preserve">Invalid links are rejected clearly; valid ones appear on the storefront after refresh; counts and cards update; empty-state text is correct; the reel stays on Home, Our Story and product pages as designed</t>
  </si>
  <si>
    <t xml:space="preserve">Open Instagram Reels (1): add, edit and remove a reel using valid, invalid and non-Instagram links</t>
  </si>
  <si>
    <t xml:space="preserve">Compare the four cards with the storefront</t>
  </si>
  <si>
    <t xml:space="preserve">TC_BW_ADM_026</t>
  </si>
  <si>
    <t xml:space="preserve">Verify the Create a discount code form validation</t>
  </si>
  <si>
    <t xml:space="preserve">Submit with Code blank</t>
  </si>
  <si>
    <t xml:space="preserve">WELCOME10, welcome10, 0, 101, -5</t>
  </si>
  <si>
    <t xml:space="preserve">Required fields enforced with clear messages; duplicates blocked; percent limited to a sensible range; minimum order optional; today's date means valid through today (IST); no broken or negative discounts can be saved</t>
  </si>
  <si>
    <t xml:space="preserve">Use a duplicate code in a different case</t>
  </si>
  <si>
    <t xml:space="preserve">Enter Percent off as 0, 100, 101, -5, 10.5 and text</t>
  </si>
  <si>
    <t xml:space="preserve">Enter a negative or text Minimum order</t>
  </si>
  <si>
    <t xml:space="preserve">Pick a past and today's date as Last day valid</t>
  </si>
  <si>
    <t xml:space="preserve">Switch Type to the other option and repeat</t>
  </si>
  <si>
    <t xml:space="preserve">Regression Id</t>
  </si>
  <si>
    <t xml:space="preserve">Linked Test Case Id</t>
  </si>
  <si>
    <t xml:space="preserve">Scenario</t>
  </si>
  <si>
    <t xml:space="preserve">Test Case</t>
  </si>
  <si>
    <t xml:space="preserve">Client Check</t>
  </si>
  <si>
    <t xml:space="preserve">Run 1 Status</t>
  </si>
  <si>
    <t xml:space="preserve">Run 2 Status</t>
  </si>
  <si>
    <t xml:space="preserve">Remarks</t>
  </si>
  <si>
    <t xml:space="preserve">RG_001</t>
  </si>
  <si>
    <t xml:space="preserve">RG_002</t>
  </si>
  <si>
    <t xml:space="preserve">RG_003</t>
  </si>
  <si>
    <t xml:space="preserve">RG_004</t>
  </si>
  <si>
    <t xml:space="preserve">RG_005</t>
  </si>
  <si>
    <t xml:space="preserve">RG_006</t>
  </si>
  <si>
    <t xml:space="preserve">RG_007</t>
  </si>
  <si>
    <t xml:space="preserve">RG_008</t>
  </si>
  <si>
    <t xml:space="preserve">RG_009</t>
  </si>
  <si>
    <t xml:space="preserve">RG_010</t>
  </si>
  <si>
    <t xml:space="preserve">RG_011</t>
  </si>
  <si>
    <t xml:space="preserve">RG_012</t>
  </si>
  <si>
    <t xml:space="preserve">RG_013</t>
  </si>
  <si>
    <t xml:space="preserve">RG_014</t>
  </si>
  <si>
    <t xml:space="preserve">RG_015</t>
  </si>
  <si>
    <t xml:space="preserve">RG_016</t>
  </si>
  <si>
    <t xml:space="preserve">RG_017</t>
  </si>
  <si>
    <t xml:space="preserve">RG_018</t>
  </si>
  <si>
    <t xml:space="preserve">RG_019</t>
  </si>
  <si>
    <t xml:space="preserve">RG_020</t>
  </si>
  <si>
    <t xml:space="preserve">RG_021</t>
  </si>
  <si>
    <t xml:space="preserve">RG_022</t>
  </si>
  <si>
    <t xml:space="preserve">RG_023</t>
  </si>
  <si>
    <t xml:space="preserve">RG_024</t>
  </si>
  <si>
    <t xml:space="preserve">RG_025</t>
  </si>
  <si>
    <t xml:space="preserve">RG_026</t>
  </si>
  <si>
    <t xml:space="preserve">RG_027</t>
  </si>
  <si>
    <t xml:space="preserve">RG_028</t>
  </si>
  <si>
    <t xml:space="preserve">RG_029</t>
  </si>
  <si>
    <t xml:space="preserve">RG_030</t>
  </si>
  <si>
    <t xml:space="preserve">RG_031</t>
  </si>
  <si>
    <t xml:space="preserve">Logo wasn't visible in Desktop mode on mobile in some widths in Run 1</t>
  </si>
  <si>
    <t xml:space="preserve">RG_032</t>
  </si>
  <si>
    <t xml:space="preserve">RG_033</t>
  </si>
  <si>
    <t xml:space="preserve">RG_034</t>
  </si>
  <si>
    <t xml:space="preserve">RG_035</t>
  </si>
  <si>
    <t xml:space="preserve">RG_036</t>
  </si>
  <si>
    <t xml:space="preserve">RG_037</t>
  </si>
  <si>
    <t xml:space="preserve">RG_038</t>
  </si>
  <si>
    <t xml:space="preserve">RG_039</t>
  </si>
  <si>
    <t xml:space="preserve">RG_040</t>
  </si>
  <si>
    <t xml:space="preserve">RG_041</t>
  </si>
  <si>
    <t xml:space="preserve">RG_042</t>
  </si>
  <si>
    <t xml:space="preserve">RG_043</t>
  </si>
  <si>
    <t xml:space="preserve">RG_044</t>
  </si>
  <si>
    <t xml:space="preserve">RG_045</t>
  </si>
  <si>
    <t xml:space="preserve">RG_046</t>
  </si>
  <si>
    <t xml:space="preserve">RG_047</t>
  </si>
  <si>
    <t xml:space="preserve">RG_048</t>
  </si>
  <si>
    <t xml:space="preserve">RG_049</t>
  </si>
  <si>
    <t xml:space="preserve">RG_050</t>
  </si>
  <si>
    <t xml:space="preserve">RG_051</t>
  </si>
  <si>
    <t xml:space="preserve">RG_052</t>
  </si>
  <si>
    <t xml:space="preserve">RG_053</t>
  </si>
  <si>
    <t xml:space="preserve">RG_054</t>
  </si>
  <si>
    <t xml:space="preserve">RG_055</t>
  </si>
  <si>
    <t xml:space="preserve">RG_056</t>
  </si>
  <si>
    <t xml:space="preserve">RG_057</t>
  </si>
  <si>
    <t xml:space="preserve">RG_058</t>
  </si>
  <si>
    <t xml:space="preserve">RG_059</t>
  </si>
  <si>
    <t xml:space="preserve">RG_060</t>
  </si>
  <si>
    <t xml:space="preserve">RG_061</t>
  </si>
</sst>
</file>

<file path=xl/styles.xml><?xml version="1.0" encoding="utf-8"?>
<styleSheet xmlns="http://schemas.openxmlformats.org/spreadsheetml/2006/main">
  <numFmts count="4">
    <numFmt numFmtId="164" formatCode="General"/>
    <numFmt numFmtId="165" formatCode="[$-F800]dddd&quot;, &quot;mmmm\ dd&quot;, &quot;yyyy"/>
    <numFmt numFmtId="166" formatCode="0%"/>
    <numFmt numFmtId="167" formatCode="@"/>
  </numFmts>
  <fonts count="10">
    <font>
      <sz val="11"/>
      <color theme="1"/>
      <name val="Aptos Narrow"/>
      <family val="2"/>
      <charset val="1"/>
    </font>
    <font>
      <sz val="10"/>
      <name val="Arial"/>
      <family val="0"/>
    </font>
    <font>
      <sz val="10"/>
      <name val="Arial"/>
      <family val="0"/>
    </font>
    <font>
      <sz val="10"/>
      <name val="Arial"/>
      <family val="0"/>
    </font>
    <font>
      <b val="true"/>
      <sz val="11"/>
      <color theme="1"/>
      <name val="Aptos Narrow"/>
      <family val="2"/>
      <charset val="1"/>
    </font>
    <font>
      <sz val="11"/>
      <name val="Aptos Narrow"/>
      <family val="0"/>
      <charset val="1"/>
    </font>
    <font>
      <sz val="11"/>
      <name val="Aptos Narrow"/>
      <family val="2"/>
      <charset val="1"/>
    </font>
    <font>
      <b val="true"/>
      <sz val="11"/>
      <name val="Aptos Narrow"/>
      <family val="0"/>
      <charset val="1"/>
    </font>
    <font>
      <i val="true"/>
      <sz val="11"/>
      <name val="Aptos Narrow"/>
      <family val="0"/>
      <charset val="1"/>
    </font>
    <font>
      <u val="single"/>
      <sz val="11"/>
      <color theme="10"/>
      <name val="Aptos Narrow"/>
      <family val="2"/>
      <charset val="1"/>
    </font>
  </fonts>
  <fills count="5">
    <fill>
      <patternFill patternType="none"/>
    </fill>
    <fill>
      <patternFill patternType="gray125"/>
    </fill>
    <fill>
      <patternFill patternType="solid">
        <fgColor theme="5" tint="0.5998"/>
        <bgColor rgb="FFFFC7CE"/>
      </patternFill>
    </fill>
    <fill>
      <patternFill patternType="solid">
        <fgColor theme="4" tint="0.5998"/>
        <bgColor rgb="FFC0C0C0"/>
      </patternFill>
    </fill>
    <fill>
      <patternFill patternType="solid">
        <fgColor theme="0"/>
        <bgColor rgb="FFFFFFCC"/>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tru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top" textRotation="0" wrapText="tru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4" fillId="3" borderId="1" xfId="0" applyFont="true" applyBorder="true" applyAlignment="true" applyProtection="false">
      <alignment horizontal="general" vertical="bottom" textRotation="0" wrapText="true" indent="0" shrinkToFit="false"/>
      <protection locked="true" hidden="false"/>
    </xf>
    <xf numFmtId="164" fontId="4" fillId="3"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7" fontId="5" fillId="0" borderId="2" xfId="0" applyFont="true" applyBorder="true" applyAlignment="true" applyProtection="false">
      <alignment horizontal="center" vertical="center" textRotation="0" wrapText="true" indent="0" shrinkToFit="false"/>
      <protection locked="true" hidden="false"/>
    </xf>
    <xf numFmtId="167" fontId="6" fillId="0" borderId="3" xfId="0" applyFont="true" applyBorder="true" applyAlignment="true" applyProtection="false">
      <alignment horizontal="center" vertical="center" textRotation="0" wrapText="true" indent="0" shrinkToFit="false"/>
      <protection locked="true" hidden="false"/>
    </xf>
    <xf numFmtId="167" fontId="5" fillId="0" borderId="3" xfId="0" applyFont="true" applyBorder="true" applyAlignment="true" applyProtection="false">
      <alignment horizontal="center" vertical="center" textRotation="0" wrapText="true" indent="0" shrinkToFit="false"/>
      <protection locked="true" hidden="false"/>
    </xf>
    <xf numFmtId="167" fontId="6" fillId="0" borderId="4"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83CBEB"/>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467886"/>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bgColor rgb="FFC6EFCE"/>
        </patternFill>
      </fill>
    </dxf>
    <dxf>
      <fill>
        <patternFill>
          <bgColor rgb="FFFFC7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EB9C"/>
      <rgbColor rgb="FF83CBEB"/>
      <rgbColor rgb="FFFF99CC"/>
      <rgbColor rgb="FFCC99FF"/>
      <rgbColor rgb="FFF6C6AD"/>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hyperlink" Target="mailto:care@bhumaewellness.com" TargetMode="External"/><Relationship Id="rId2"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0" activeCellId="0" sqref="D10"/>
    </sheetView>
  </sheetViews>
  <sheetFormatPr defaultColWidth="8.57421875" defaultRowHeight="15" zeroHeight="false" outlineLevelRow="0" outlineLevelCol="0"/>
  <cols>
    <col collapsed="false" customWidth="true" hidden="false" outlineLevel="0" max="1" min="1" style="1" width="37.57"/>
    <col collapsed="false" customWidth="true" hidden="false" outlineLevel="0" max="2" min="2" style="1" width="22"/>
    <col collapsed="false" customWidth="true" hidden="false" outlineLevel="0" max="4" min="3" style="1" width="18"/>
    <col collapsed="false" customWidth="true" hidden="false" outlineLevel="0" max="5" min="5" style="1" width="29.57"/>
    <col collapsed="false" customWidth="true" hidden="false" outlineLevel="0" max="6" min="6" style="1" width="16.86"/>
    <col collapsed="false" customWidth="true" hidden="false" outlineLevel="0" max="7" min="7" style="1" width="26"/>
  </cols>
  <sheetData>
    <row r="1" customFormat="false" ht="15" hidden="false" customHeight="true" outlineLevel="0" collapsed="false">
      <c r="A1" s="2" t="s">
        <v>0</v>
      </c>
      <c r="B1" s="3" t="s">
        <v>1</v>
      </c>
      <c r="C1" s="3"/>
      <c r="D1" s="3"/>
      <c r="E1" s="3"/>
      <c r="F1" s="3"/>
      <c r="G1" s="3"/>
    </row>
    <row r="2" customFormat="false" ht="15" hidden="false" customHeight="true" outlineLevel="0" collapsed="false">
      <c r="A2" s="2" t="s">
        <v>2</v>
      </c>
      <c r="B2" s="4" t="n">
        <v>46304</v>
      </c>
      <c r="C2" s="5" t="s">
        <v>3</v>
      </c>
      <c r="D2" s="5"/>
      <c r="E2" s="6" t="s">
        <v>4</v>
      </c>
      <c r="F2" s="5" t="s">
        <v>5</v>
      </c>
      <c r="G2" s="6" t="s">
        <v>6</v>
      </c>
    </row>
    <row r="3" customFormat="false" ht="15" hidden="false" customHeight="true" outlineLevel="0" collapsed="false">
      <c r="A3" s="2"/>
      <c r="B3" s="2"/>
      <c r="C3" s="5"/>
      <c r="D3" s="5"/>
      <c r="E3" s="6"/>
      <c r="F3" s="5" t="s">
        <v>7</v>
      </c>
      <c r="G3" s="1" t="s">
        <v>8</v>
      </c>
    </row>
    <row r="4" customFormat="false" ht="15" hidden="false" customHeight="true" outlineLevel="0" collapsed="false">
      <c r="A4" s="2" t="s">
        <v>9</v>
      </c>
      <c r="B4" s="3" t="s">
        <v>10</v>
      </c>
      <c r="C4" s="3"/>
      <c r="D4" s="3"/>
      <c r="E4" s="3"/>
      <c r="F4" s="3"/>
      <c r="G4" s="3"/>
    </row>
    <row r="5" customFormat="false" ht="15" hidden="false" customHeight="true" outlineLevel="0" collapsed="false">
      <c r="A5" s="2" t="s">
        <v>11</v>
      </c>
      <c r="B5" s="6" t="s">
        <v>12</v>
      </c>
      <c r="C5" s="5" t="s">
        <v>13</v>
      </c>
      <c r="D5" s="5"/>
      <c r="E5" s="6" t="s">
        <v>14</v>
      </c>
      <c r="F5" s="5" t="s">
        <v>15</v>
      </c>
      <c r="G5" s="6" t="s">
        <v>16</v>
      </c>
    </row>
    <row r="6" customFormat="false" ht="15" hidden="false" customHeight="true" outlineLevel="0" collapsed="false">
      <c r="A6" s="2"/>
      <c r="B6" s="2"/>
      <c r="C6" s="5"/>
      <c r="D6" s="5"/>
      <c r="E6" s="6"/>
      <c r="F6" s="5" t="s">
        <v>17</v>
      </c>
      <c r="G6" s="6" t="s">
        <v>18</v>
      </c>
    </row>
    <row r="7" customFormat="false" ht="15" hidden="false" customHeight="true" outlineLevel="0" collapsed="false">
      <c r="A7" s="2" t="s">
        <v>19</v>
      </c>
      <c r="B7" s="3" t="s">
        <v>10</v>
      </c>
      <c r="C7" s="3"/>
      <c r="D7" s="3"/>
      <c r="E7" s="3"/>
      <c r="F7" s="3"/>
      <c r="G7" s="3"/>
    </row>
    <row r="8" customFormat="false" ht="15" hidden="false" customHeight="true" outlineLevel="0" collapsed="false">
      <c r="A8" s="2" t="s">
        <v>20</v>
      </c>
      <c r="B8" s="3" t="s">
        <v>21</v>
      </c>
      <c r="C8" s="3"/>
      <c r="D8" s="3"/>
      <c r="E8" s="3"/>
      <c r="F8" s="3"/>
      <c r="G8" s="3"/>
    </row>
    <row r="9" customFormat="false" ht="78" hidden="false" customHeight="true" outlineLevel="0" collapsed="false">
      <c r="A9" s="2" t="s">
        <v>22</v>
      </c>
      <c r="B9" s="7" t="s">
        <v>23</v>
      </c>
      <c r="C9" s="7"/>
      <c r="D9" s="7"/>
      <c r="E9" s="7"/>
      <c r="F9" s="7"/>
      <c r="G9" s="7"/>
    </row>
    <row r="10" customFormat="false" ht="78" hidden="false" customHeight="true" outlineLevel="0" collapsed="false">
      <c r="A10" s="2" t="s">
        <v>24</v>
      </c>
      <c r="B10" s="7" t="s">
        <v>25</v>
      </c>
      <c r="C10" s="7"/>
      <c r="D10" s="7"/>
      <c r="E10" s="7"/>
      <c r="F10" s="7"/>
      <c r="G10" s="7"/>
    </row>
    <row r="11" customFormat="false" ht="78" hidden="false" customHeight="true" outlineLevel="0" collapsed="false">
      <c r="A11" s="2" t="s">
        <v>26</v>
      </c>
      <c r="B11" s="7" t="s">
        <v>27</v>
      </c>
      <c r="C11" s="7"/>
      <c r="D11" s="7"/>
      <c r="E11" s="7"/>
      <c r="F11" s="7"/>
      <c r="G11" s="7"/>
    </row>
    <row r="12" customFormat="false" ht="78" hidden="false" customHeight="true" outlineLevel="0" collapsed="false">
      <c r="A12" s="2" t="s">
        <v>28</v>
      </c>
      <c r="B12" s="7" t="s">
        <v>29</v>
      </c>
      <c r="C12" s="7"/>
      <c r="D12" s="7"/>
      <c r="E12" s="7"/>
      <c r="F12" s="7"/>
      <c r="G12" s="7"/>
    </row>
    <row r="13" customFormat="false" ht="78" hidden="false" customHeight="true" outlineLevel="0" collapsed="false">
      <c r="A13" s="2" t="s">
        <v>30</v>
      </c>
      <c r="B13" s="7" t="s">
        <v>31</v>
      </c>
      <c r="C13" s="7"/>
      <c r="D13" s="7"/>
      <c r="E13" s="7"/>
      <c r="F13" s="7"/>
      <c r="G13" s="7"/>
    </row>
    <row r="14" customFormat="false" ht="78" hidden="false" customHeight="true" outlineLevel="0" collapsed="false">
      <c r="A14" s="2" t="s">
        <v>32</v>
      </c>
      <c r="B14" s="7" t="s">
        <v>33</v>
      </c>
      <c r="C14" s="7"/>
      <c r="D14" s="7"/>
      <c r="E14" s="7"/>
      <c r="F14" s="7"/>
      <c r="G14" s="7"/>
    </row>
    <row r="15" customFormat="false" ht="78" hidden="false" customHeight="true" outlineLevel="0" collapsed="false">
      <c r="A15" s="2" t="s">
        <v>34</v>
      </c>
      <c r="B15" s="7" t="s">
        <v>35</v>
      </c>
      <c r="C15" s="7"/>
      <c r="D15" s="7"/>
      <c r="E15" s="7"/>
      <c r="F15" s="7"/>
      <c r="G15" s="7"/>
    </row>
    <row r="16" customFormat="false" ht="78" hidden="false" customHeight="true" outlineLevel="0" collapsed="false">
      <c r="A16" s="2" t="s">
        <v>36</v>
      </c>
      <c r="B16" s="7" t="s">
        <v>37</v>
      </c>
      <c r="C16" s="7"/>
      <c r="D16" s="7"/>
      <c r="E16" s="7"/>
      <c r="F16" s="7"/>
      <c r="G16" s="7"/>
    </row>
    <row r="17" customFormat="false" ht="15" hidden="false" customHeight="true" outlineLevel="0" collapsed="false">
      <c r="A17" s="8"/>
      <c r="B17" s="6"/>
      <c r="C17" s="6"/>
      <c r="D17" s="6"/>
      <c r="E17" s="6"/>
      <c r="F17" s="6"/>
      <c r="G17" s="6"/>
    </row>
    <row r="18" customFormat="false" ht="30" hidden="false" customHeight="true" outlineLevel="0" collapsed="false">
      <c r="A18" s="2" t="s">
        <v>38</v>
      </c>
      <c r="B18" s="3" t="s">
        <v>39</v>
      </c>
      <c r="C18" s="3"/>
      <c r="D18" s="3"/>
      <c r="E18" s="3"/>
      <c r="F18" s="3"/>
      <c r="G18" s="3"/>
    </row>
    <row r="19" customFormat="false" ht="15" hidden="false" customHeight="true" outlineLevel="0" collapsed="false">
      <c r="A19" s="2" t="s">
        <v>40</v>
      </c>
      <c r="B19" s="3" t="s">
        <v>41</v>
      </c>
      <c r="C19" s="3"/>
      <c r="D19" s="3"/>
      <c r="E19" s="3"/>
      <c r="F19" s="3"/>
      <c r="G19" s="3"/>
    </row>
  </sheetData>
  <mergeCells count="22">
    <mergeCell ref="B1:G1"/>
    <mergeCell ref="A2:A3"/>
    <mergeCell ref="B2:B3"/>
    <mergeCell ref="C2:D3"/>
    <mergeCell ref="E2:E3"/>
    <mergeCell ref="B4:G4"/>
    <mergeCell ref="A5:A6"/>
    <mergeCell ref="B5:B6"/>
    <mergeCell ref="C5:D6"/>
    <mergeCell ref="E5:E6"/>
    <mergeCell ref="B7:G7"/>
    <mergeCell ref="B8:G8"/>
    <mergeCell ref="B9:G9"/>
    <mergeCell ref="B10:G10"/>
    <mergeCell ref="B11:G11"/>
    <mergeCell ref="B12:G12"/>
    <mergeCell ref="B13:G13"/>
    <mergeCell ref="B14:G14"/>
    <mergeCell ref="B15:G15"/>
    <mergeCell ref="B16:G16"/>
    <mergeCell ref="B18:G18"/>
    <mergeCell ref="B19:G1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12" activeCellId="0" sqref="D12"/>
    </sheetView>
  </sheetViews>
  <sheetFormatPr defaultColWidth="8.57421875" defaultRowHeight="15" zeroHeight="false" outlineLevelRow="0" outlineLevelCol="0"/>
  <cols>
    <col collapsed="false" customWidth="true" hidden="false" outlineLevel="0" max="1" min="1" style="1" width="24.14"/>
    <col collapsed="false" customWidth="true" hidden="false" outlineLevel="0" max="2" min="2" style="1" width="12.43"/>
    <col collapsed="false" customWidth="true" hidden="false" outlineLevel="0" max="3" min="3" style="1" width="69.57"/>
    <col collapsed="false" customWidth="true" hidden="false" outlineLevel="0" max="4" min="4" style="1" width="59.57"/>
    <col collapsed="false" customWidth="true" hidden="false" outlineLevel="0" max="5" min="5" style="1" width="10"/>
  </cols>
  <sheetData>
    <row r="1" customFormat="false" ht="15" hidden="false" customHeight="true" outlineLevel="0" collapsed="false">
      <c r="A1" s="9" t="s">
        <v>42</v>
      </c>
      <c r="B1" s="9" t="s">
        <v>43</v>
      </c>
      <c r="C1" s="9" t="s">
        <v>44</v>
      </c>
      <c r="D1" s="9" t="s">
        <v>45</v>
      </c>
      <c r="E1" s="9" t="s">
        <v>46</v>
      </c>
    </row>
    <row r="2" customFormat="false" ht="60" hidden="false" customHeight="true" outlineLevel="0" collapsed="false">
      <c r="A2" s="10" t="s">
        <v>47</v>
      </c>
      <c r="B2" s="10" t="s">
        <v>48</v>
      </c>
      <c r="C2" s="11" t="s">
        <v>49</v>
      </c>
      <c r="D2" s="10" t="s">
        <v>50</v>
      </c>
      <c r="E2" s="10" t="n">
        <v>0.5</v>
      </c>
    </row>
    <row r="3" customFormat="false" ht="75" hidden="false" customHeight="true" outlineLevel="0" collapsed="false">
      <c r="A3" s="10" t="s">
        <v>51</v>
      </c>
      <c r="B3" s="10" t="s">
        <v>48</v>
      </c>
      <c r="C3" s="11" t="s">
        <v>52</v>
      </c>
      <c r="D3" s="10" t="s">
        <v>53</v>
      </c>
      <c r="E3" s="10" t="n">
        <v>5.5</v>
      </c>
    </row>
    <row r="4" customFormat="false" ht="45" hidden="false" customHeight="true" outlineLevel="0" collapsed="false">
      <c r="A4" s="10" t="s">
        <v>54</v>
      </c>
      <c r="B4" s="10" t="s">
        <v>48</v>
      </c>
      <c r="C4" s="10" t="s">
        <v>55</v>
      </c>
      <c r="D4" s="10" t="s">
        <v>56</v>
      </c>
      <c r="E4" s="10" t="n">
        <v>3.5</v>
      </c>
    </row>
    <row r="5" customFormat="false" ht="60" hidden="false" customHeight="true" outlineLevel="0" collapsed="false">
      <c r="A5" s="10" t="s">
        <v>57</v>
      </c>
      <c r="B5" s="10" t="s">
        <v>58</v>
      </c>
      <c r="C5" s="10" t="s">
        <v>59</v>
      </c>
      <c r="D5" s="10" t="s">
        <v>60</v>
      </c>
      <c r="E5" s="10" t="n">
        <v>5</v>
      </c>
    </row>
    <row r="6" customFormat="false" ht="30" hidden="false" customHeight="true" outlineLevel="0" collapsed="false">
      <c r="A6" s="10" t="s">
        <v>61</v>
      </c>
      <c r="B6" s="10" t="s">
        <v>62</v>
      </c>
      <c r="C6" s="10" t="s">
        <v>63</v>
      </c>
      <c r="D6" s="10" t="s">
        <v>64</v>
      </c>
      <c r="E6" s="10" t="n">
        <v>3</v>
      </c>
    </row>
    <row r="7" customFormat="false" ht="60" hidden="false" customHeight="true" outlineLevel="0" collapsed="false">
      <c r="A7" s="10" t="s">
        <v>65</v>
      </c>
      <c r="B7" s="10" t="s">
        <v>66</v>
      </c>
      <c r="C7" s="10" t="s">
        <v>67</v>
      </c>
      <c r="D7" s="10" t="s">
        <v>68</v>
      </c>
      <c r="E7" s="10" t="n">
        <v>3.5</v>
      </c>
    </row>
    <row r="8" customFormat="false" ht="30" hidden="false" customHeight="true" outlineLevel="0" collapsed="false">
      <c r="A8" s="10" t="s">
        <v>69</v>
      </c>
      <c r="B8" s="10" t="s">
        <v>70</v>
      </c>
      <c r="C8" s="10" t="s">
        <v>71</v>
      </c>
      <c r="D8" s="10" t="s">
        <v>72</v>
      </c>
      <c r="E8" s="10" t="n">
        <v>1.5</v>
      </c>
    </row>
    <row r="9" customFormat="false" ht="15" hidden="false" customHeight="true" outlineLevel="0" collapsed="false">
      <c r="A9" s="12" t="s">
        <v>73</v>
      </c>
      <c r="E9" s="12" t="n">
        <f aca="false">SUM(E2:E8)</f>
        <v>22.5</v>
      </c>
    </row>
    <row r="10" customFormat="false" ht="33.75" hidden="false" customHeight="true" outlineLevel="0" collapsed="false">
      <c r="A10" s="13" t="s">
        <v>74</v>
      </c>
      <c r="B10" s="13"/>
      <c r="C10" s="13"/>
      <c r="D10" s="13"/>
      <c r="E10" s="13"/>
    </row>
  </sheetData>
  <mergeCells count="1">
    <mergeCell ref="A10:E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3"/>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23" activeCellId="0" sqref="B23"/>
    </sheetView>
  </sheetViews>
  <sheetFormatPr defaultColWidth="8.57421875" defaultRowHeight="15" zeroHeight="false" outlineLevelRow="0" outlineLevelCol="0"/>
  <cols>
    <col collapsed="false" customWidth="true" hidden="false" outlineLevel="0" max="1" min="1" style="1" width="38.43"/>
    <col collapsed="false" customWidth="true" hidden="false" outlineLevel="0" max="2" min="2" style="1" width="46.71"/>
    <col collapsed="false" customWidth="true" hidden="false" outlineLevel="0" max="3" min="3" style="1" width="19.57"/>
    <col collapsed="false" customWidth="true" hidden="false" outlineLevel="0" max="4" min="4" style="1" width="4.14"/>
    <col collapsed="false" customWidth="true" hidden="false" outlineLevel="0" max="5" min="5" style="1" width="8.14"/>
    <col collapsed="false" customWidth="true" hidden="false" outlineLevel="0" max="6" min="6" style="1" width="13.29"/>
    <col collapsed="false" customWidth="true" hidden="false" outlineLevel="0" max="7" min="7" style="1" width="11.43"/>
  </cols>
  <sheetData>
    <row r="1" customFormat="false" ht="15" hidden="false" customHeight="true" outlineLevel="0" collapsed="false">
      <c r="A1" s="9" t="s">
        <v>75</v>
      </c>
      <c r="B1" s="9" t="s">
        <v>73</v>
      </c>
      <c r="C1" s="9" t="s">
        <v>76</v>
      </c>
      <c r="D1" s="9" t="s">
        <v>77</v>
      </c>
      <c r="E1" s="9" t="s">
        <v>78</v>
      </c>
      <c r="F1" s="9" t="s">
        <v>79</v>
      </c>
      <c r="G1" s="9" t="s">
        <v>80</v>
      </c>
    </row>
    <row r="2" customFormat="false" ht="15" hidden="false" customHeight="true" outlineLevel="0" collapsed="false">
      <c r="A2" s="10" t="s">
        <v>81</v>
      </c>
      <c r="B2" s="10" t="n">
        <f aca="false">COUNTIF('Functional Testing'!$M$2:$M$349,A2)</f>
        <v>1</v>
      </c>
      <c r="C2" s="10" t="n">
        <f aca="false">COUNTIFS('Functional Testing'!$M$2:$M$349,$A2,'Functional Testing'!$L$2:$L$349,"Pass")</f>
        <v>1</v>
      </c>
      <c r="D2" s="10" t="n">
        <f aca="false">COUNTIFS('Functional Testing'!$M$2:$M$349,$A2,'Functional Testing'!$L$2:$L$349,"Fail")</f>
        <v>0</v>
      </c>
      <c r="E2" s="10" t="n">
        <f aca="false">COUNTIFS('Functional Testing'!$M$2:$M$349,$A2,'Functional Testing'!$L$2:$L$349,"Blocked")</f>
        <v>0</v>
      </c>
      <c r="F2" s="10" t="n">
        <f aca="false">COUNTIFS('Functional Testing'!$M$2:$M$349,$A2,'Functional Testing'!$L$2:$L$349,"Not Executed")</f>
        <v>0</v>
      </c>
      <c r="G2" s="14" t="n">
        <f aca="false">IF(B2=0,0,(C2+D2+E2)/B2)</f>
        <v>1</v>
      </c>
    </row>
    <row r="3" customFormat="false" ht="15" hidden="false" customHeight="true" outlineLevel="0" collapsed="false">
      <c r="A3" s="10" t="s">
        <v>82</v>
      </c>
      <c r="B3" s="10" t="n">
        <f aca="false">COUNTIF('Functional Testing'!$M$2:$M$349,A3)</f>
        <v>16</v>
      </c>
      <c r="C3" s="10" t="n">
        <f aca="false">COUNTIFS('Functional Testing'!$M$2:$M$349,$A3,'Functional Testing'!$L$2:$L$349,"Pass")</f>
        <v>14</v>
      </c>
      <c r="D3" s="10" t="n">
        <f aca="false">COUNTIFS('Functional Testing'!$M$2:$M$349,$A3,'Functional Testing'!$L$2:$L$349,"Fail")</f>
        <v>0</v>
      </c>
      <c r="E3" s="10" t="n">
        <f aca="false">COUNTIFS('Functional Testing'!$M$2:$M$349,$A3,'Functional Testing'!$L$2:$L$349,"Blocked")</f>
        <v>2</v>
      </c>
      <c r="F3" s="10" t="n">
        <f aca="false">COUNTIFS('Functional Testing'!$M$2:$M$349,$A3,'Functional Testing'!$L$2:$L$349,"Not Executed")</f>
        <v>0</v>
      </c>
      <c r="G3" s="14" t="n">
        <f aca="false">IF(B3=0,0,(C3+D3+E3)/B3)</f>
        <v>1</v>
      </c>
    </row>
    <row r="4" customFormat="false" ht="15" hidden="false" customHeight="true" outlineLevel="0" collapsed="false">
      <c r="A4" s="10" t="s">
        <v>83</v>
      </c>
      <c r="B4" s="10" t="n">
        <f aca="false">COUNTIF('Functional Testing'!$M$2:$M$349,A4)</f>
        <v>6</v>
      </c>
      <c r="C4" s="10" t="n">
        <f aca="false">COUNTIFS('Functional Testing'!$M$2:$M$349,$A4,'Functional Testing'!$L$2:$L$349,"Pass")</f>
        <v>5</v>
      </c>
      <c r="D4" s="10" t="n">
        <f aca="false">COUNTIFS('Functional Testing'!$M$2:$M$349,$A4,'Functional Testing'!$L$2:$L$349,"Fail")</f>
        <v>0</v>
      </c>
      <c r="E4" s="10" t="n">
        <f aca="false">COUNTIFS('Functional Testing'!$M$2:$M$349,$A4,'Functional Testing'!$L$2:$L$349,"Blocked")</f>
        <v>1</v>
      </c>
      <c r="F4" s="10" t="n">
        <f aca="false">COUNTIFS('Functional Testing'!$M$2:$M$349,$A4,'Functional Testing'!$L$2:$L$349,"Not Executed")</f>
        <v>0</v>
      </c>
      <c r="G4" s="14" t="n">
        <f aca="false">IF(B4=0,0,(C4+D4+E4)/B4)</f>
        <v>1</v>
      </c>
    </row>
    <row r="5" customFormat="false" ht="15" hidden="false" customHeight="true" outlineLevel="0" collapsed="false">
      <c r="A5" s="10" t="s">
        <v>84</v>
      </c>
      <c r="B5" s="10" t="n">
        <f aca="false">COUNTIF('Functional Testing'!$M$2:$M$349,A5)</f>
        <v>5</v>
      </c>
      <c r="C5" s="10" t="n">
        <f aca="false">COUNTIFS('Functional Testing'!$M$2:$M$349,$A5,'Functional Testing'!$L$2:$L$349,"Pass")</f>
        <v>3</v>
      </c>
      <c r="D5" s="10" t="n">
        <f aca="false">COUNTIFS('Functional Testing'!$M$2:$M$349,$A5,'Functional Testing'!$L$2:$L$349,"Fail")</f>
        <v>0</v>
      </c>
      <c r="E5" s="10" t="n">
        <f aca="false">COUNTIFS('Functional Testing'!$M$2:$M$349,$A5,'Functional Testing'!$L$2:$L$349,"Blocked")</f>
        <v>1</v>
      </c>
      <c r="F5" s="10" t="n">
        <f aca="false">COUNTIFS('Functional Testing'!$M$2:$M$349,$A5,'Functional Testing'!$L$2:$L$349,"Not Executed")</f>
        <v>0</v>
      </c>
      <c r="G5" s="14" t="n">
        <f aca="false">IF(B5=0,0,(C5+D5+E5)/B5)</f>
        <v>0.8</v>
      </c>
    </row>
    <row r="6" customFormat="false" ht="15" hidden="false" customHeight="true" outlineLevel="0" collapsed="false">
      <c r="A6" s="10" t="s">
        <v>85</v>
      </c>
      <c r="B6" s="10" t="n">
        <f aca="false">COUNTIF('Functional Testing'!$M$2:$M$349,A6)</f>
        <v>6</v>
      </c>
      <c r="C6" s="10" t="n">
        <f aca="false">COUNTIFS('Functional Testing'!$M$2:$M$349,$A6,'Functional Testing'!$L$2:$L$349,"Pass")</f>
        <v>6</v>
      </c>
      <c r="D6" s="10" t="n">
        <f aca="false">COUNTIFS('Functional Testing'!$M$2:$M$349,$A6,'Functional Testing'!$L$2:$L$349,"Fail")</f>
        <v>0</v>
      </c>
      <c r="E6" s="10" t="n">
        <f aca="false">COUNTIFS('Functional Testing'!$M$2:$M$349,$A6,'Functional Testing'!$L$2:$L$349,"Blocked")</f>
        <v>0</v>
      </c>
      <c r="F6" s="10" t="n">
        <f aca="false">COUNTIFS('Functional Testing'!$M$2:$M$349,$A6,'Functional Testing'!$L$2:$L$349,"Not Executed")</f>
        <v>0</v>
      </c>
      <c r="G6" s="14" t="n">
        <f aca="false">IF(B6=0,0,(C6+D6+E6)/B6)</f>
        <v>1</v>
      </c>
    </row>
    <row r="7" customFormat="false" ht="15" hidden="false" customHeight="true" outlineLevel="0" collapsed="false">
      <c r="A7" s="10" t="s">
        <v>86</v>
      </c>
      <c r="B7" s="10" t="n">
        <f aca="false">COUNTIF('Functional Testing'!$M$2:$M$349,A7)</f>
        <v>13</v>
      </c>
      <c r="C7" s="10" t="n">
        <f aca="false">COUNTIFS('Functional Testing'!$M$2:$M$349,$A7,'Functional Testing'!$L$2:$L$349,"Pass")</f>
        <v>12</v>
      </c>
      <c r="D7" s="10" t="n">
        <f aca="false">COUNTIFS('Functional Testing'!$M$2:$M$349,$A7,'Functional Testing'!$L$2:$L$349,"Fail")</f>
        <v>1</v>
      </c>
      <c r="E7" s="10" t="n">
        <f aca="false">COUNTIFS('Functional Testing'!$M$2:$M$349,$A7,'Functional Testing'!$L$2:$L$349,"Blocked")</f>
        <v>0</v>
      </c>
      <c r="F7" s="10" t="n">
        <f aca="false">COUNTIFS('Functional Testing'!$M$2:$M$349,$A7,'Functional Testing'!$L$2:$L$349,"Not Executed")</f>
        <v>0</v>
      </c>
      <c r="G7" s="14" t="n">
        <f aca="false">IF(B7=0,0,(C7+D7+E7)/B7)</f>
        <v>1</v>
      </c>
    </row>
    <row r="8" customFormat="false" ht="15" hidden="false" customHeight="true" outlineLevel="0" collapsed="false">
      <c r="A8" s="10" t="s">
        <v>87</v>
      </c>
      <c r="B8" s="10" t="n">
        <f aca="false">COUNTIF('Functional Testing'!$M$2:$M$349,A8)</f>
        <v>4</v>
      </c>
      <c r="C8" s="10" t="n">
        <f aca="false">COUNTIFS('Functional Testing'!$M$2:$M$349,$A8,'Functional Testing'!$L$2:$L$349,"Pass")</f>
        <v>4</v>
      </c>
      <c r="D8" s="10" t="n">
        <f aca="false">COUNTIFS('Functional Testing'!$M$2:$M$349,$A8,'Functional Testing'!$L$2:$L$349,"Fail")</f>
        <v>0</v>
      </c>
      <c r="E8" s="10" t="n">
        <f aca="false">COUNTIFS('Functional Testing'!$M$2:$M$349,$A8,'Functional Testing'!$L$2:$L$349,"Blocked")</f>
        <v>0</v>
      </c>
      <c r="F8" s="10" t="n">
        <f aca="false">COUNTIFS('Functional Testing'!$M$2:$M$349,$A8,'Functional Testing'!$L$2:$L$349,"Not Executed")</f>
        <v>0</v>
      </c>
      <c r="G8" s="14" t="n">
        <f aca="false">IF(B8=0,0,(C8+D8+E8)/B8)</f>
        <v>1</v>
      </c>
    </row>
    <row r="9" customFormat="false" ht="15" hidden="false" customHeight="true" outlineLevel="0" collapsed="false">
      <c r="A9" s="10" t="s">
        <v>88</v>
      </c>
      <c r="B9" s="10" t="n">
        <f aca="false">COUNTIF('Functional Testing'!$M$2:$M$349,A9)</f>
        <v>1</v>
      </c>
      <c r="C9" s="10" t="n">
        <f aca="false">COUNTIFS('Functional Testing'!$M$2:$M$349,$A9,'Functional Testing'!$L$2:$L$349,"Pass")</f>
        <v>1</v>
      </c>
      <c r="D9" s="10" t="n">
        <f aca="false">COUNTIFS('Functional Testing'!$M$2:$M$349,$A9,'Functional Testing'!$L$2:$L$349,"Fail")</f>
        <v>0</v>
      </c>
      <c r="E9" s="10" t="n">
        <f aca="false">COUNTIFS('Functional Testing'!$M$2:$M$349,$A9,'Functional Testing'!$L$2:$L$349,"Blocked")</f>
        <v>0</v>
      </c>
      <c r="F9" s="10" t="n">
        <f aca="false">COUNTIFS('Functional Testing'!$M$2:$M$349,$A9,'Functional Testing'!$L$2:$L$349,"Not Executed")</f>
        <v>0</v>
      </c>
      <c r="G9" s="14" t="n">
        <f aca="false">IF(B9=0,0,(C9+D9+E9)/B9)</f>
        <v>1</v>
      </c>
    </row>
    <row r="10" customFormat="false" ht="15" hidden="false" customHeight="true" outlineLevel="0" collapsed="false">
      <c r="A10" s="10" t="s">
        <v>89</v>
      </c>
      <c r="B10" s="10" t="n">
        <f aca="false">COUNTIF('Functional Testing'!$M$2:$M$349,A10)</f>
        <v>4</v>
      </c>
      <c r="C10" s="10" t="n">
        <f aca="false">COUNTIFS('Functional Testing'!$M$2:$M$349,$A10,'Functional Testing'!$L$2:$L$349,"Pass")</f>
        <v>3</v>
      </c>
      <c r="D10" s="10" t="n">
        <f aca="false">COUNTIFS('Functional Testing'!$M$2:$M$349,$A10,'Functional Testing'!$L$2:$L$349,"Fail")</f>
        <v>1</v>
      </c>
      <c r="E10" s="10" t="n">
        <f aca="false">COUNTIFS('Functional Testing'!$M$2:$M$349,$A10,'Functional Testing'!$L$2:$L$349,"Blocked")</f>
        <v>0</v>
      </c>
      <c r="F10" s="10" t="n">
        <f aca="false">COUNTIFS('Functional Testing'!$M$2:$M$349,$A10,'Functional Testing'!$L$2:$L$349,"Not Executed")</f>
        <v>0</v>
      </c>
      <c r="G10" s="14" t="n">
        <f aca="false">IF(B10=0,0,(C10+D10+E10)/B10)</f>
        <v>1</v>
      </c>
    </row>
    <row r="11" customFormat="false" ht="15" hidden="false" customHeight="true" outlineLevel="0" collapsed="false">
      <c r="A11" s="10" t="s">
        <v>90</v>
      </c>
      <c r="B11" s="10" t="n">
        <f aca="false">COUNTIF('Functional Testing'!$M$2:$M$349,A11)</f>
        <v>1</v>
      </c>
      <c r="C11" s="10" t="n">
        <f aca="false">COUNTIFS('Functional Testing'!$M$2:$M$349,$A11,'Functional Testing'!$L$2:$L$349,"Pass")</f>
        <v>1</v>
      </c>
      <c r="D11" s="10" t="n">
        <f aca="false">COUNTIFS('Functional Testing'!$M$2:$M$349,$A11,'Functional Testing'!$L$2:$L$349,"Fail")</f>
        <v>0</v>
      </c>
      <c r="E11" s="10" t="n">
        <f aca="false">COUNTIFS('Functional Testing'!$M$2:$M$349,$A11,'Functional Testing'!$L$2:$L$349,"Blocked")</f>
        <v>0</v>
      </c>
      <c r="F11" s="10" t="n">
        <f aca="false">COUNTIFS('Functional Testing'!$M$2:$M$349,$A11,'Functional Testing'!$L$2:$L$349,"Not Executed")</f>
        <v>0</v>
      </c>
      <c r="G11" s="14" t="n">
        <f aca="false">IF(B11=0,0,(C11+D11+E11)/B11)</f>
        <v>1</v>
      </c>
    </row>
    <row r="12" customFormat="false" ht="15" hidden="false" customHeight="true" outlineLevel="0" collapsed="false">
      <c r="A12" s="10" t="s">
        <v>91</v>
      </c>
      <c r="B12" s="10" t="n">
        <f aca="false">COUNTIF('Functional Testing'!$M$2:$M$349,A12)</f>
        <v>22</v>
      </c>
      <c r="C12" s="10" t="n">
        <f aca="false">COUNTIFS('Functional Testing'!$M$2:$M$349,$A12,'Functional Testing'!$L$2:$L$349,"Pass")</f>
        <v>19</v>
      </c>
      <c r="D12" s="10" t="n">
        <f aca="false">COUNTIFS('Functional Testing'!$M$2:$M$349,$A12,'Functional Testing'!$L$2:$L$349,"Fail")</f>
        <v>1</v>
      </c>
      <c r="E12" s="10" t="n">
        <f aca="false">COUNTIFS('Functional Testing'!$M$2:$M$349,$A12,'Functional Testing'!$L$2:$L$349,"Blocked")</f>
        <v>2</v>
      </c>
      <c r="F12" s="10" t="n">
        <f aca="false">COUNTIFS('Functional Testing'!$M$2:$M$349,$A12,'Functional Testing'!$L$2:$L$349,"Not Executed")</f>
        <v>0</v>
      </c>
      <c r="G12" s="14" t="n">
        <f aca="false">IF(B12=0,0,(C12+D12+E12)/B12)</f>
        <v>1</v>
      </c>
    </row>
    <row r="13" customFormat="false" ht="15" hidden="false" customHeight="true" outlineLevel="0" collapsed="false">
      <c r="A13" s="10" t="s">
        <v>92</v>
      </c>
      <c r="B13" s="10" t="n">
        <f aca="false">COUNTIF('Functional Testing'!$M$2:$M$349,A13)</f>
        <v>2</v>
      </c>
      <c r="C13" s="10" t="n">
        <f aca="false">COUNTIFS('Functional Testing'!$M$2:$M$349,$A13,'Functional Testing'!$L$2:$L$349,"Pass")</f>
        <v>1</v>
      </c>
      <c r="D13" s="10" t="n">
        <f aca="false">COUNTIFS('Functional Testing'!$M$2:$M$349,$A13,'Functional Testing'!$L$2:$L$349,"Fail")</f>
        <v>1</v>
      </c>
      <c r="E13" s="10" t="n">
        <f aca="false">COUNTIFS('Functional Testing'!$M$2:$M$349,$A13,'Functional Testing'!$L$2:$L$349,"Blocked")</f>
        <v>0</v>
      </c>
      <c r="F13" s="10" t="n">
        <f aca="false">COUNTIFS('Functional Testing'!$M$2:$M$349,$A13,'Functional Testing'!$L$2:$L$349,"Not Executed")</f>
        <v>0</v>
      </c>
      <c r="G13" s="14" t="n">
        <f aca="false">IF(B13=0,0,(C13+D13+E13)/B13)</f>
        <v>1</v>
      </c>
    </row>
    <row r="14" customFormat="false" ht="15" hidden="false" customHeight="true" outlineLevel="0" collapsed="false">
      <c r="A14" s="10" t="s">
        <v>93</v>
      </c>
      <c r="B14" s="10" t="n">
        <f aca="false">COUNTIF('Functional Testing'!$M$2:$M$349,A14)</f>
        <v>4</v>
      </c>
      <c r="C14" s="10" t="n">
        <f aca="false">COUNTIFS('Functional Testing'!$M$2:$M$349,$A14,'Functional Testing'!$L$2:$L$349,"Pass")</f>
        <v>4</v>
      </c>
      <c r="D14" s="10" t="n">
        <f aca="false">COUNTIFS('Functional Testing'!$M$2:$M$349,$A14,'Functional Testing'!$L$2:$L$349,"Fail")</f>
        <v>0</v>
      </c>
      <c r="E14" s="10" t="n">
        <f aca="false">COUNTIFS('Functional Testing'!$M$2:$M$349,$A14,'Functional Testing'!$L$2:$L$349,"Blocked")</f>
        <v>0</v>
      </c>
      <c r="F14" s="10" t="n">
        <f aca="false">COUNTIFS('Functional Testing'!$M$2:$M$349,$A14,'Functional Testing'!$L$2:$L$349,"Not Executed")</f>
        <v>0</v>
      </c>
      <c r="G14" s="14" t="n">
        <f aca="false">IF(B14=0,0,(C14+D14+E14)/B14)</f>
        <v>1</v>
      </c>
    </row>
    <row r="15" customFormat="false" ht="15" hidden="false" customHeight="true" outlineLevel="0" collapsed="false">
      <c r="A15" s="10" t="s">
        <v>94</v>
      </c>
      <c r="B15" s="10" t="n">
        <f aca="false">COUNTIF('Functional Testing'!$M$2:$M$349,A15)</f>
        <v>7</v>
      </c>
      <c r="C15" s="10" t="n">
        <f aca="false">COUNTIFS('Functional Testing'!$M$2:$M$349,$A15,'Functional Testing'!$L$2:$L$349,"Pass")</f>
        <v>7</v>
      </c>
      <c r="D15" s="10" t="n">
        <f aca="false">COUNTIFS('Functional Testing'!$M$2:$M$349,$A15,'Functional Testing'!$L$2:$L$349,"Fail")</f>
        <v>0</v>
      </c>
      <c r="E15" s="10" t="n">
        <f aca="false">COUNTIFS('Functional Testing'!$M$2:$M$349,$A15,'Functional Testing'!$L$2:$L$349,"Blocked")</f>
        <v>0</v>
      </c>
      <c r="F15" s="10" t="n">
        <f aca="false">COUNTIFS('Functional Testing'!$M$2:$M$349,$A15,'Functional Testing'!$L$2:$L$349,"Not Executed")</f>
        <v>0</v>
      </c>
      <c r="G15" s="14" t="n">
        <f aca="false">IF(B15=0,0,(C15+D15+E15)/B15)</f>
        <v>1</v>
      </c>
    </row>
    <row r="16" customFormat="false" ht="15" hidden="false" customHeight="true" outlineLevel="0" collapsed="false">
      <c r="A16" s="10" t="s">
        <v>95</v>
      </c>
      <c r="B16" s="10" t="n">
        <f aca="false">COUNTIF('Functional Testing'!$M$2:$M$349,A16)</f>
        <v>1</v>
      </c>
      <c r="C16" s="10" t="n">
        <f aca="false">COUNTIFS('Functional Testing'!$M$2:$M$349,$A16,'Functional Testing'!$L$2:$L$349,"Pass")</f>
        <v>0</v>
      </c>
      <c r="D16" s="10" t="n">
        <f aca="false">COUNTIFS('Functional Testing'!$M$2:$M$349,$A16,'Functional Testing'!$L$2:$L$349,"Fail")</f>
        <v>0</v>
      </c>
      <c r="E16" s="10" t="n">
        <f aca="false">COUNTIFS('Functional Testing'!$M$2:$M$349,$A16,'Functional Testing'!$L$2:$L$349,"Blocked")</f>
        <v>0</v>
      </c>
      <c r="F16" s="10" t="n">
        <f aca="false">COUNTIFS('Functional Testing'!$M$2:$M$349,$A16,'Functional Testing'!$L$2:$L$349,"Not Executed")</f>
        <v>0</v>
      </c>
      <c r="G16" s="14" t="n">
        <f aca="false">IF(B16=0,0,(C16+D16+E16)/B16)</f>
        <v>0</v>
      </c>
    </row>
    <row r="17" customFormat="false" ht="15" hidden="false" customHeight="true" outlineLevel="0" collapsed="false">
      <c r="A17" s="10" t="s">
        <v>96</v>
      </c>
      <c r="B17" s="10" t="n">
        <f aca="false">COUNTIF('Functional Testing'!$M$2:$M$349,A17)</f>
        <v>1</v>
      </c>
      <c r="C17" s="10" t="n">
        <f aca="false">COUNTIFS('Functional Testing'!$M$2:$M$349,$A17,'Functional Testing'!$L$2:$L$349,"Pass")</f>
        <v>0</v>
      </c>
      <c r="D17" s="10" t="n">
        <f aca="false">COUNTIFS('Functional Testing'!$M$2:$M$349,$A17,'Functional Testing'!$L$2:$L$349,"Fail")</f>
        <v>1</v>
      </c>
      <c r="E17" s="10" t="n">
        <f aca="false">COUNTIFS('Functional Testing'!$M$2:$M$349,$A17,'Functional Testing'!$L$2:$L$349,"Blocked")</f>
        <v>0</v>
      </c>
      <c r="F17" s="10" t="n">
        <f aca="false">COUNTIFS('Functional Testing'!$M$2:$M$349,$A17,'Functional Testing'!$L$2:$L$349,"Not Executed")</f>
        <v>0</v>
      </c>
      <c r="G17" s="14" t="n">
        <f aca="false">IF(B17=0,0,(C17+D17+E17)/B17)</f>
        <v>1</v>
      </c>
    </row>
    <row r="18" customFormat="false" ht="15" hidden="false" customHeight="true" outlineLevel="0" collapsed="false">
      <c r="A18" s="10" t="s">
        <v>97</v>
      </c>
      <c r="B18" s="10" t="n">
        <f aca="false">COUNTIF('Functional Testing'!$M$2:$M$349,A18)</f>
        <v>2</v>
      </c>
      <c r="C18" s="10" t="n">
        <f aca="false">COUNTIFS('Functional Testing'!$M$2:$M$349,$A18,'Functional Testing'!$L$2:$L$349,"Pass")</f>
        <v>1</v>
      </c>
      <c r="D18" s="10" t="n">
        <f aca="false">COUNTIFS('Functional Testing'!$M$2:$M$349,$A18,'Functional Testing'!$L$2:$L$349,"Fail")</f>
        <v>0</v>
      </c>
      <c r="E18" s="10" t="n">
        <f aca="false">COUNTIFS('Functional Testing'!$M$2:$M$349,$A18,'Functional Testing'!$L$2:$L$349,"Blocked")</f>
        <v>1</v>
      </c>
      <c r="F18" s="10" t="n">
        <f aca="false">COUNTIFS('Functional Testing'!$M$2:$M$349,$A18,'Functional Testing'!$L$2:$L$349,"Not Executed")</f>
        <v>0</v>
      </c>
      <c r="G18" s="14" t="n">
        <f aca="false">IF(B18=0,0,(C18+D18+E18)/B18)</f>
        <v>1</v>
      </c>
    </row>
    <row r="19" customFormat="false" ht="15" hidden="false" customHeight="true" outlineLevel="0" collapsed="false">
      <c r="A19" s="10" t="s">
        <v>98</v>
      </c>
      <c r="B19" s="10" t="n">
        <f aca="false">COUNTIF('Functional Testing'!$M$2:$M$349,A19)</f>
        <v>6</v>
      </c>
      <c r="C19" s="10" t="n">
        <f aca="false">COUNTIFS('Functional Testing'!$M$2:$M$349,$A19,'Functional Testing'!$L$2:$L$349,"Pass")</f>
        <v>3</v>
      </c>
      <c r="D19" s="10" t="n">
        <f aca="false">COUNTIFS('Functional Testing'!$M$2:$M$349,$A19,'Functional Testing'!$L$2:$L$349,"Fail")</f>
        <v>2</v>
      </c>
      <c r="E19" s="10" t="n">
        <f aca="false">COUNTIFS('Functional Testing'!$M$2:$M$349,$A19,'Functional Testing'!$L$2:$L$349,"Blocked")</f>
        <v>1</v>
      </c>
      <c r="F19" s="10" t="n">
        <f aca="false">COUNTIFS('Functional Testing'!$M$2:$M$349,$A19,'Functional Testing'!$L$2:$L$349,"Not Executed")</f>
        <v>0</v>
      </c>
      <c r="G19" s="14" t="n">
        <f aca="false">IF(B19=0,0,(C19+D19+E19)/B19)</f>
        <v>1</v>
      </c>
    </row>
    <row r="20" customFormat="false" ht="15" hidden="false" customHeight="true" outlineLevel="0" collapsed="false">
      <c r="A20" s="10" t="s">
        <v>99</v>
      </c>
      <c r="B20" s="10" t="n">
        <f aca="false">COUNTIF('Functional Testing'!$M$2:$M$349,A20)</f>
        <v>3</v>
      </c>
      <c r="C20" s="10" t="n">
        <f aca="false">COUNTIFS('Functional Testing'!$M$2:$M$349,$A20,'Functional Testing'!$L$2:$L$349,"Pass")</f>
        <v>3</v>
      </c>
      <c r="D20" s="10" t="n">
        <f aca="false">COUNTIFS('Functional Testing'!$M$2:$M$349,$A20,'Functional Testing'!$L$2:$L$349,"Fail")</f>
        <v>0</v>
      </c>
      <c r="E20" s="10" t="n">
        <f aca="false">COUNTIFS('Functional Testing'!$M$2:$M$349,$A20,'Functional Testing'!$L$2:$L$349,"Blocked")</f>
        <v>0</v>
      </c>
      <c r="F20" s="10" t="n">
        <f aca="false">COUNTIFS('Functional Testing'!$M$2:$M$349,$A20,'Functional Testing'!$L$2:$L$349,"Not Executed")</f>
        <v>0</v>
      </c>
      <c r="G20" s="14" t="n">
        <f aca="false">IF(B20=0,0,(C20+D20+E20)/B20)</f>
        <v>1</v>
      </c>
    </row>
    <row r="21" customFormat="false" ht="15" hidden="false" customHeight="true" outlineLevel="0" collapsed="false">
      <c r="A21" s="10" t="s">
        <v>100</v>
      </c>
      <c r="B21" s="10" t="n">
        <f aca="false">COUNTIF('Functional Testing'!$M$2:$M$349,A21)</f>
        <v>2</v>
      </c>
      <c r="C21" s="10" t="n">
        <f aca="false">COUNTIFS('Functional Testing'!$M$2:$M$349,$A21,'Functional Testing'!$L$2:$L$349,"Pass")</f>
        <v>2</v>
      </c>
      <c r="D21" s="10" t="n">
        <f aca="false">COUNTIFS('Functional Testing'!$M$2:$M$349,$A21,'Functional Testing'!$L$2:$L$349,"Fail")</f>
        <v>0</v>
      </c>
      <c r="E21" s="10" t="n">
        <f aca="false">COUNTIFS('Functional Testing'!$M$2:$M$349,$A21,'Functional Testing'!$L$2:$L$349,"Blocked")</f>
        <v>0</v>
      </c>
      <c r="F21" s="10" t="n">
        <f aca="false">COUNTIFS('Functional Testing'!$M$2:$M$349,$A21,'Functional Testing'!$L$2:$L$349,"Not Executed")</f>
        <v>0</v>
      </c>
      <c r="G21" s="14" t="n">
        <f aca="false">IF(B21=0,0,(C21+D21+E21)/B21)</f>
        <v>1</v>
      </c>
    </row>
    <row r="22" customFormat="false" ht="15" hidden="false" customHeight="true" outlineLevel="0" collapsed="false">
      <c r="A22" s="10" t="s">
        <v>101</v>
      </c>
      <c r="B22" s="10" t="n">
        <f aca="false">COUNTIF('Functional Testing'!$M$2:$M$349,A22)</f>
        <v>1</v>
      </c>
      <c r="C22" s="10" t="n">
        <f aca="false">COUNTIFS('Functional Testing'!$M$2:$M$349,$A22,'Functional Testing'!$L$2:$L$349,"Pass")</f>
        <v>1</v>
      </c>
      <c r="D22" s="10" t="n">
        <f aca="false">COUNTIFS('Functional Testing'!$M$2:$M$349,$A22,'Functional Testing'!$L$2:$L$349,"Fail")</f>
        <v>0</v>
      </c>
      <c r="E22" s="10" t="n">
        <f aca="false">COUNTIFS('Functional Testing'!$M$2:$M$349,$A22,'Functional Testing'!$L$2:$L$349,"Blocked")</f>
        <v>0</v>
      </c>
      <c r="F22" s="10" t="n">
        <f aca="false">COUNTIFS('Functional Testing'!$M$2:$M$349,$A22,'Functional Testing'!$L$2:$L$349,"Not Executed")</f>
        <v>0</v>
      </c>
      <c r="G22" s="14" t="n">
        <f aca="false">IF(B22=0,0,(C22+D22+E22)/B22)</f>
        <v>1</v>
      </c>
    </row>
    <row r="23" customFormat="false" ht="15" hidden="false" customHeight="true" outlineLevel="0" collapsed="false">
      <c r="A23" s="10" t="s">
        <v>102</v>
      </c>
      <c r="B23" s="10" t="n">
        <f aca="false">COUNTIF('Functional Testing'!$M$2:$M$349,A23)</f>
        <v>5</v>
      </c>
      <c r="C23" s="10" t="n">
        <f aca="false">COUNTIFS('Functional Testing'!$M$2:$M$349,$A23,'Functional Testing'!$L$2:$L$349,"Pass")</f>
        <v>3</v>
      </c>
      <c r="D23" s="10" t="n">
        <f aca="false">COUNTIFS('Functional Testing'!$M$2:$M$349,$A23,'Functional Testing'!$L$2:$L$349,"Fail")</f>
        <v>2</v>
      </c>
      <c r="E23" s="10" t="n">
        <f aca="false">COUNTIFS('Functional Testing'!$M$2:$M$349,$A23,'Functional Testing'!$L$2:$L$349,"Blocked")</f>
        <v>0</v>
      </c>
      <c r="F23" s="10" t="n">
        <f aca="false">COUNTIFS('Functional Testing'!$M$2:$M$349,$A23,'Functional Testing'!$L$2:$L$349,"Not Executed")</f>
        <v>0</v>
      </c>
      <c r="G23" s="14" t="n">
        <f aca="false">IF(B23=0,0,(C23+D23+E23)/B23)</f>
        <v>1</v>
      </c>
    </row>
    <row r="24" customFormat="false" ht="15" hidden="false" customHeight="true" outlineLevel="0" collapsed="false">
      <c r="A24" s="12" t="s">
        <v>73</v>
      </c>
      <c r="B24" s="12" t="n">
        <f aca="false">SUM(B2:B23)</f>
        <v>113</v>
      </c>
      <c r="C24" s="12" t="n">
        <f aca="false">SUM(C2:C23)</f>
        <v>94</v>
      </c>
      <c r="D24" s="12" t="n">
        <f aca="false">SUM(D2:D23)</f>
        <v>9</v>
      </c>
      <c r="E24" s="12" t="n">
        <f aca="false">SUM(E2:E23)</f>
        <v>8</v>
      </c>
      <c r="F24" s="12" t="n">
        <f aca="false">SUM(F2:F23)</f>
        <v>0</v>
      </c>
      <c r="G24" s="15" t="n">
        <f aca="false">IF(B24=0,0,(C24+D24+E24)/B24)</f>
        <v>0.982300884955752</v>
      </c>
    </row>
    <row r="26" customFormat="false" ht="15" hidden="false" customHeight="true" outlineLevel="0" collapsed="false">
      <c r="A26" s="16" t="s">
        <v>103</v>
      </c>
    </row>
    <row r="27" customFormat="false" ht="15" hidden="false" customHeight="true" outlineLevel="0" collapsed="false">
      <c r="A27" s="9" t="s">
        <v>104</v>
      </c>
      <c r="B27" s="9" t="s">
        <v>73</v>
      </c>
      <c r="C27" s="9" t="s">
        <v>76</v>
      </c>
      <c r="D27" s="9" t="s">
        <v>77</v>
      </c>
      <c r="E27" s="9" t="s">
        <v>78</v>
      </c>
      <c r="F27" s="9" t="s">
        <v>79</v>
      </c>
      <c r="G27" s="9" t="s">
        <v>80</v>
      </c>
    </row>
    <row r="28" customFormat="false" ht="15" hidden="false" customHeight="true" outlineLevel="0" collapsed="false">
      <c r="A28" s="10" t="s">
        <v>105</v>
      </c>
      <c r="B28" s="10" t="n">
        <f aca="false">COUNTIF('Functional Testing'!$K$2:$K$349,A28)</f>
        <v>61</v>
      </c>
      <c r="C28" s="10" t="n">
        <f aca="false">COUNTIFS('Functional Testing'!$K$2:$K$349,$A28,'Functional Testing'!$L$2:$L$349,"Pass")</f>
        <v>50</v>
      </c>
      <c r="D28" s="10" t="n">
        <f aca="false">COUNTIFS('Functional Testing'!$K$2:$K$349,$A28,'Functional Testing'!$L$2:$L$349,"Fail")</f>
        <v>8</v>
      </c>
      <c r="E28" s="10" t="n">
        <f aca="false">COUNTIFS('Functional Testing'!$K$2:$K$349,$A28,'Functional Testing'!$L$2:$L$349,"Blocked")</f>
        <v>3</v>
      </c>
      <c r="F28" s="10" t="n">
        <f aca="false">COUNTIFS('Functional Testing'!$K$2:$K$349,$A28,'Functional Testing'!$L$2:$L$349,"Not Executed")</f>
        <v>0</v>
      </c>
      <c r="G28" s="14" t="n">
        <f aca="false">IF(B28=0,0,(C28+D28+E28)/B28)</f>
        <v>1</v>
      </c>
    </row>
    <row r="29" customFormat="false" ht="15" hidden="false" customHeight="true" outlineLevel="0" collapsed="false">
      <c r="A29" s="10" t="s">
        <v>106</v>
      </c>
      <c r="B29" s="10" t="n">
        <f aca="false">COUNTIF('Functional Testing'!$K$2:$K$349,A29)</f>
        <v>44</v>
      </c>
      <c r="C29" s="10" t="n">
        <f aca="false">COUNTIFS('Functional Testing'!$K$2:$K$349,$A29,'Functional Testing'!$L$2:$L$349,"Pass")</f>
        <v>38</v>
      </c>
      <c r="D29" s="10" t="n">
        <f aca="false">COUNTIFS('Functional Testing'!$K$2:$K$349,$A29,'Functional Testing'!$L$2:$L$349,"Fail")</f>
        <v>1</v>
      </c>
      <c r="E29" s="10" t="n">
        <f aca="false">COUNTIFS('Functional Testing'!$K$2:$K$349,$A29,'Functional Testing'!$L$2:$L$349,"Blocked")</f>
        <v>4</v>
      </c>
      <c r="F29" s="10" t="n">
        <f aca="false">COUNTIFS('Functional Testing'!$K$2:$K$349,$A29,'Functional Testing'!$L$2:$L$349,"Not Executed")</f>
        <v>0</v>
      </c>
      <c r="G29" s="14" t="n">
        <f aca="false">IF(B29=0,0,(C29+D29+E29)/B29)</f>
        <v>0.977272727272727</v>
      </c>
    </row>
    <row r="30" customFormat="false" ht="15" hidden="false" customHeight="true" outlineLevel="0" collapsed="false">
      <c r="A30" s="10" t="s">
        <v>107</v>
      </c>
      <c r="B30" s="10" t="n">
        <f aca="false">COUNTIF('Functional Testing'!$K$2:$K$349,A30)</f>
        <v>8</v>
      </c>
      <c r="C30" s="10" t="n">
        <f aca="false">COUNTIFS('Functional Testing'!$K$2:$K$349,$A30,'Functional Testing'!$L$2:$L$349,"Pass")</f>
        <v>6</v>
      </c>
      <c r="D30" s="10" t="n">
        <f aca="false">COUNTIFS('Functional Testing'!$K$2:$K$349,$A30,'Functional Testing'!$L$2:$L$349,"Fail")</f>
        <v>0</v>
      </c>
      <c r="E30" s="10" t="n">
        <f aca="false">COUNTIFS('Functional Testing'!$K$2:$K$349,$A30,'Functional Testing'!$L$2:$L$349,"Blocked")</f>
        <v>1</v>
      </c>
      <c r="F30" s="10" t="n">
        <f aca="false">COUNTIFS('Functional Testing'!$K$2:$K$349,$A30,'Functional Testing'!$L$2:$L$349,"Not Executed")</f>
        <v>0</v>
      </c>
      <c r="G30" s="14" t="n">
        <f aca="false">IF(B30=0,0,(C30+D30+E30)/B30)</f>
        <v>0.875</v>
      </c>
    </row>
    <row r="33" customFormat="false" ht="15" hidden="false" customHeight="true" outlineLevel="0" collapsed="false">
      <c r="A33" s="16" t="s">
        <v>108</v>
      </c>
    </row>
    <row r="34" customFormat="false" ht="15" hidden="false" customHeight="true" outlineLevel="0" collapsed="false">
      <c r="A34" s="9" t="s">
        <v>109</v>
      </c>
      <c r="B34" s="9" t="s">
        <v>110</v>
      </c>
      <c r="C34" s="9" t="s">
        <v>111</v>
      </c>
    </row>
    <row r="35" customFormat="false" ht="30" hidden="false" customHeight="true" outlineLevel="0" collapsed="false">
      <c r="A35" s="10" t="s">
        <v>112</v>
      </c>
      <c r="B35" s="10" t="s">
        <v>113</v>
      </c>
      <c r="C35" s="10" t="s">
        <v>114</v>
      </c>
    </row>
    <row r="36" customFormat="false" ht="30" hidden="false" customHeight="true" outlineLevel="0" collapsed="false">
      <c r="A36" s="10" t="s">
        <v>115</v>
      </c>
      <c r="B36" s="10" t="s">
        <v>116</v>
      </c>
      <c r="C36" s="10" t="s">
        <v>117</v>
      </c>
    </row>
    <row r="37" customFormat="false" ht="30" hidden="false" customHeight="true" outlineLevel="0" collapsed="false">
      <c r="A37" s="10" t="s">
        <v>118</v>
      </c>
      <c r="B37" s="10" t="s">
        <v>119</v>
      </c>
      <c r="C37" s="10" t="s">
        <v>120</v>
      </c>
    </row>
    <row r="38" customFormat="false" ht="15" hidden="false" customHeight="true" outlineLevel="0" collapsed="false">
      <c r="A38" s="10" t="s">
        <v>121</v>
      </c>
      <c r="B38" s="10" t="s">
        <v>122</v>
      </c>
      <c r="C38" s="10" t="s">
        <v>120</v>
      </c>
    </row>
    <row r="39" customFormat="false" ht="30" hidden="false" customHeight="true" outlineLevel="0" collapsed="false">
      <c r="A39" s="10" t="s">
        <v>123</v>
      </c>
      <c r="B39" s="10" t="s">
        <v>124</v>
      </c>
      <c r="C39" s="10" t="s">
        <v>114</v>
      </c>
    </row>
    <row r="40" customFormat="false" ht="15" hidden="false" customHeight="true" outlineLevel="0" collapsed="false">
      <c r="A40" s="10" t="s">
        <v>125</v>
      </c>
      <c r="B40" s="10" t="s">
        <v>126</v>
      </c>
      <c r="C40" s="10" t="s">
        <v>114</v>
      </c>
    </row>
    <row r="41" customFormat="false" ht="30" hidden="false" customHeight="true" outlineLevel="0" collapsed="false">
      <c r="A41" s="10" t="s">
        <v>127</v>
      </c>
      <c r="B41" s="10" t="s">
        <v>128</v>
      </c>
      <c r="C41" s="10" t="s">
        <v>129</v>
      </c>
    </row>
    <row r="42" customFormat="false" ht="15" hidden="false" customHeight="true" outlineLevel="0" collapsed="false">
      <c r="A42" s="10" t="s">
        <v>130</v>
      </c>
      <c r="B42" s="10" t="s">
        <v>131</v>
      </c>
      <c r="C42" s="10" t="s">
        <v>129</v>
      </c>
    </row>
    <row r="43" customFormat="false" ht="30" hidden="false" customHeight="true" outlineLevel="0" collapsed="false">
      <c r="A43" s="10" t="s">
        <v>132</v>
      </c>
      <c r="B43" s="10" t="s">
        <v>133</v>
      </c>
      <c r="C43" s="10" t="s">
        <v>134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23" activePane="bottomLeft" state="frozen"/>
      <selection pane="topLeft" activeCell="A1" activeCellId="0" sqref="A1"/>
      <selection pane="bottomLeft" activeCell="D176" activeCellId="0" sqref="D176"/>
    </sheetView>
  </sheetViews>
  <sheetFormatPr defaultColWidth="16" defaultRowHeight="15" zeroHeight="false" outlineLevelRow="0" outlineLevelCol="0"/>
  <cols>
    <col collapsed="false" customWidth="true" hidden="false" outlineLevel="0" max="1" min="1" style="17" width="17"/>
    <col collapsed="false" customWidth="true" hidden="false" outlineLevel="0" max="2" min="2" style="17" width="12"/>
    <col collapsed="false" customWidth="true" hidden="false" outlineLevel="0" max="3" min="3" style="17" width="20"/>
    <col collapsed="false" customWidth="true" hidden="false" outlineLevel="0" max="4" min="4" style="17" width="42"/>
    <col collapsed="false" customWidth="true" hidden="false" outlineLevel="0" max="5" min="5" style="17" width="47"/>
    <col collapsed="false" customWidth="true" hidden="false" outlineLevel="0" max="6" min="6" style="18" width="8"/>
    <col collapsed="false" customWidth="true" hidden="false" outlineLevel="0" max="7" min="7" style="19" width="53.71"/>
    <col collapsed="false" customWidth="true" hidden="false" outlineLevel="0" max="8" min="8" style="18" width="35.57"/>
    <col collapsed="false" customWidth="true" hidden="false" outlineLevel="0" max="9" min="9" style="18" width="48"/>
    <col collapsed="false" customWidth="true" hidden="false" outlineLevel="0" max="10" min="10" style="18" width="57.86"/>
    <col collapsed="false" customWidth="true" hidden="false" outlineLevel="0" max="11" min="11" style="18" width="10"/>
    <col collapsed="false" customWidth="true" hidden="false" outlineLevel="0" max="12" min="12" style="18" width="17"/>
    <col collapsed="false" customWidth="false" hidden="false" outlineLevel="0" max="16384" min="13" style="18" width="16"/>
  </cols>
  <sheetData>
    <row r="1" customFormat="false" ht="30" hidden="false" customHeight="true" outlineLevel="0" collapsed="false">
      <c r="A1" s="9" t="s">
        <v>135</v>
      </c>
      <c r="B1" s="9" t="s">
        <v>136</v>
      </c>
      <c r="C1" s="9" t="s">
        <v>137</v>
      </c>
      <c r="D1" s="9" t="s">
        <v>138</v>
      </c>
      <c r="E1" s="9" t="s">
        <v>139</v>
      </c>
      <c r="F1" s="20" t="s">
        <v>140</v>
      </c>
      <c r="G1" s="21" t="s">
        <v>141</v>
      </c>
      <c r="H1" s="20" t="s">
        <v>142</v>
      </c>
      <c r="I1" s="20" t="s">
        <v>143</v>
      </c>
      <c r="J1" s="20" t="s">
        <v>144</v>
      </c>
      <c r="K1" s="20" t="s">
        <v>104</v>
      </c>
      <c r="L1" s="20" t="s">
        <v>145</v>
      </c>
      <c r="M1" s="9" t="s">
        <v>75</v>
      </c>
      <c r="N1" s="9" t="s">
        <v>146</v>
      </c>
    </row>
    <row r="2" customFormat="false" ht="30" hidden="false" customHeight="true" outlineLevel="0" collapsed="false">
      <c r="A2" s="11" t="s">
        <v>147</v>
      </c>
      <c r="B2" s="10" t="s">
        <v>148</v>
      </c>
      <c r="C2" s="10" t="s">
        <v>149</v>
      </c>
      <c r="D2" s="10" t="s">
        <v>150</v>
      </c>
      <c r="E2" s="10" t="s">
        <v>151</v>
      </c>
      <c r="F2" s="10" t="s">
        <v>152</v>
      </c>
      <c r="G2" s="22" t="s">
        <v>153</v>
      </c>
      <c r="H2" s="10" t="s">
        <v>154</v>
      </c>
      <c r="I2" s="10" t="s">
        <v>155</v>
      </c>
      <c r="J2" s="11"/>
      <c r="K2" s="10" t="s">
        <v>105</v>
      </c>
      <c r="L2" s="10" t="s">
        <v>76</v>
      </c>
      <c r="M2" s="10" t="s">
        <v>91</v>
      </c>
      <c r="N2" s="10" t="s">
        <v>156</v>
      </c>
    </row>
    <row r="3" customFormat="false" ht="15" hidden="false" customHeight="true" outlineLevel="0" collapsed="false">
      <c r="A3" s="11"/>
      <c r="B3" s="11"/>
      <c r="C3" s="11"/>
      <c r="D3" s="11"/>
      <c r="E3" s="11"/>
      <c r="F3" s="10" t="s">
        <v>157</v>
      </c>
      <c r="G3" s="22" t="s">
        <v>158</v>
      </c>
      <c r="H3" s="10"/>
      <c r="I3" s="10"/>
      <c r="J3" s="10"/>
      <c r="K3" s="10"/>
      <c r="L3" s="10"/>
      <c r="M3" s="10"/>
      <c r="N3" s="10"/>
    </row>
    <row r="4" customFormat="false" ht="15" hidden="false" customHeight="true" outlineLevel="0" collapsed="false">
      <c r="A4" s="11"/>
      <c r="B4" s="11"/>
      <c r="C4" s="11"/>
      <c r="D4" s="11"/>
      <c r="E4" s="11"/>
      <c r="F4" s="10" t="s">
        <v>159</v>
      </c>
      <c r="G4" s="22" t="s">
        <v>160</v>
      </c>
      <c r="H4" s="10"/>
      <c r="I4" s="10"/>
      <c r="J4" s="10"/>
      <c r="K4" s="10"/>
      <c r="L4" s="10"/>
      <c r="M4" s="10"/>
      <c r="N4" s="10"/>
    </row>
    <row r="5" customFormat="false" ht="15" hidden="false" customHeight="true" outlineLevel="0" collapsed="false">
      <c r="A5" s="10" t="s">
        <v>161</v>
      </c>
      <c r="B5" s="10" t="s">
        <v>162</v>
      </c>
      <c r="C5" s="10" t="s">
        <v>163</v>
      </c>
      <c r="D5" s="10" t="s">
        <v>164</v>
      </c>
      <c r="E5" s="10" t="s">
        <v>165</v>
      </c>
      <c r="F5" s="10" t="s">
        <v>152</v>
      </c>
      <c r="G5" s="22" t="s">
        <v>166</v>
      </c>
      <c r="H5" s="10" t="s">
        <v>167</v>
      </c>
      <c r="I5" s="10" t="s">
        <v>168</v>
      </c>
      <c r="J5" s="11"/>
      <c r="K5" s="10" t="s">
        <v>105</v>
      </c>
      <c r="L5" s="10" t="s">
        <v>78</v>
      </c>
      <c r="M5" s="10" t="s">
        <v>91</v>
      </c>
      <c r="N5" s="10" t="s">
        <v>156</v>
      </c>
    </row>
    <row r="6" customFormat="false" ht="30" hidden="false" customHeight="true" outlineLevel="0" collapsed="false">
      <c r="A6" s="10"/>
      <c r="B6" s="10"/>
      <c r="C6" s="10"/>
      <c r="D6" s="10"/>
      <c r="E6" s="10"/>
      <c r="F6" s="23" t="s">
        <v>157</v>
      </c>
      <c r="G6" s="24" t="s">
        <v>169</v>
      </c>
      <c r="H6" s="10"/>
      <c r="I6" s="10"/>
      <c r="J6" s="10"/>
      <c r="K6" s="10"/>
      <c r="L6" s="10"/>
      <c r="M6" s="10"/>
      <c r="N6" s="10"/>
    </row>
    <row r="7" customFormat="false" ht="15" hidden="false" customHeight="true" outlineLevel="0" collapsed="false">
      <c r="A7" s="10"/>
      <c r="B7" s="10"/>
      <c r="C7" s="10"/>
      <c r="D7" s="10"/>
      <c r="E7" s="10"/>
      <c r="F7" s="10" t="s">
        <v>159</v>
      </c>
      <c r="G7" s="22" t="s">
        <v>170</v>
      </c>
      <c r="H7" s="10"/>
      <c r="I7" s="10"/>
      <c r="J7" s="10"/>
      <c r="K7" s="10"/>
      <c r="L7" s="10"/>
      <c r="M7" s="10"/>
      <c r="N7" s="10"/>
    </row>
    <row r="8" customFormat="false" ht="15" hidden="false" customHeight="true" outlineLevel="0" collapsed="false">
      <c r="A8" s="10"/>
      <c r="B8" s="10"/>
      <c r="C8" s="10"/>
      <c r="D8" s="10"/>
      <c r="E8" s="10"/>
      <c r="F8" s="10" t="s">
        <v>171</v>
      </c>
      <c r="G8" s="22" t="s">
        <v>172</v>
      </c>
      <c r="H8" s="10"/>
      <c r="I8" s="10"/>
      <c r="J8" s="10"/>
      <c r="K8" s="10"/>
      <c r="L8" s="10"/>
      <c r="M8" s="10"/>
      <c r="N8" s="10"/>
    </row>
    <row r="9" customFormat="false" ht="15" hidden="false" customHeight="true" outlineLevel="0" collapsed="false">
      <c r="A9" s="10" t="s">
        <v>173</v>
      </c>
      <c r="B9" s="10" t="s">
        <v>174</v>
      </c>
      <c r="C9" s="10" t="s">
        <v>175</v>
      </c>
      <c r="D9" s="10" t="s">
        <v>176</v>
      </c>
      <c r="E9" s="10" t="s">
        <v>177</v>
      </c>
      <c r="F9" s="10" t="s">
        <v>152</v>
      </c>
      <c r="G9" s="22" t="s">
        <v>178</v>
      </c>
      <c r="H9" s="10" t="s">
        <v>179</v>
      </c>
      <c r="I9" s="10" t="s">
        <v>180</v>
      </c>
      <c r="J9" s="11"/>
      <c r="K9" s="10" t="s">
        <v>105</v>
      </c>
      <c r="L9" s="10" t="s">
        <v>76</v>
      </c>
      <c r="M9" s="10" t="s">
        <v>91</v>
      </c>
      <c r="N9" s="10" t="s">
        <v>156</v>
      </c>
    </row>
    <row r="10" customFormat="false" ht="15" hidden="false" customHeight="true" outlineLevel="0" collapsed="false">
      <c r="A10" s="10"/>
      <c r="B10" s="10"/>
      <c r="C10" s="10"/>
      <c r="D10" s="10"/>
      <c r="E10" s="10"/>
      <c r="F10" s="10" t="s">
        <v>157</v>
      </c>
      <c r="G10" s="22" t="s">
        <v>181</v>
      </c>
      <c r="H10" s="10"/>
      <c r="I10" s="10"/>
      <c r="J10" s="10"/>
      <c r="K10" s="10"/>
      <c r="L10" s="10"/>
      <c r="M10" s="10"/>
      <c r="N10" s="10"/>
    </row>
    <row r="11" customFormat="false" ht="30" hidden="false" customHeight="true" outlineLevel="0" collapsed="false">
      <c r="A11" s="10"/>
      <c r="B11" s="10"/>
      <c r="C11" s="10"/>
      <c r="D11" s="10"/>
      <c r="E11" s="10"/>
      <c r="F11" s="23" t="s">
        <v>159</v>
      </c>
      <c r="G11" s="24" t="s">
        <v>182</v>
      </c>
      <c r="H11" s="10"/>
      <c r="I11" s="10"/>
      <c r="J11" s="10"/>
      <c r="K11" s="10"/>
      <c r="L11" s="10"/>
      <c r="M11" s="10"/>
      <c r="N11" s="10"/>
    </row>
    <row r="12" customFormat="false" ht="15" hidden="false" customHeight="true" outlineLevel="0" collapsed="false">
      <c r="A12" s="10"/>
      <c r="B12" s="10"/>
      <c r="C12" s="10"/>
      <c r="D12" s="10"/>
      <c r="E12" s="10"/>
      <c r="F12" s="10" t="s">
        <v>171</v>
      </c>
      <c r="G12" s="22" t="s">
        <v>183</v>
      </c>
      <c r="H12" s="10"/>
      <c r="I12" s="10"/>
      <c r="J12" s="10"/>
      <c r="K12" s="10"/>
      <c r="L12" s="10"/>
      <c r="M12" s="10"/>
      <c r="N12" s="10"/>
    </row>
    <row r="13" customFormat="false" ht="27.75" hidden="false" customHeight="true" outlineLevel="0" collapsed="false">
      <c r="A13" s="10" t="s">
        <v>184</v>
      </c>
      <c r="B13" s="10" t="s">
        <v>185</v>
      </c>
      <c r="C13" s="10" t="s">
        <v>186</v>
      </c>
      <c r="D13" s="10" t="s">
        <v>187</v>
      </c>
      <c r="E13" s="10" t="s">
        <v>188</v>
      </c>
      <c r="F13" s="10" t="s">
        <v>152</v>
      </c>
      <c r="G13" s="22" t="s">
        <v>189</v>
      </c>
      <c r="H13" s="10" t="s">
        <v>190</v>
      </c>
      <c r="I13" s="10" t="s">
        <v>191</v>
      </c>
      <c r="J13" s="11"/>
      <c r="K13" s="10" t="s">
        <v>105</v>
      </c>
      <c r="L13" s="10" t="s">
        <v>76</v>
      </c>
      <c r="M13" s="10" t="s">
        <v>91</v>
      </c>
      <c r="N13" s="10" t="s">
        <v>156</v>
      </c>
    </row>
    <row r="14" customFormat="false" ht="15" hidden="false" customHeight="true" outlineLevel="0" collapsed="false">
      <c r="A14" s="10"/>
      <c r="B14" s="10"/>
      <c r="C14" s="10"/>
      <c r="D14" s="10"/>
      <c r="E14" s="10"/>
      <c r="F14" s="10" t="s">
        <v>157</v>
      </c>
      <c r="G14" s="22" t="s">
        <v>192</v>
      </c>
      <c r="H14" s="10"/>
      <c r="I14" s="10"/>
      <c r="J14" s="10"/>
      <c r="K14" s="10"/>
      <c r="L14" s="10"/>
      <c r="M14" s="10"/>
      <c r="N14" s="10"/>
    </row>
    <row r="15" customFormat="false" ht="15" hidden="false" customHeight="true" outlineLevel="0" collapsed="false">
      <c r="A15" s="10"/>
      <c r="B15" s="10"/>
      <c r="C15" s="10"/>
      <c r="D15" s="10"/>
      <c r="E15" s="10"/>
      <c r="F15" s="10" t="s">
        <v>159</v>
      </c>
      <c r="G15" s="22" t="s">
        <v>193</v>
      </c>
      <c r="H15" s="10"/>
      <c r="I15" s="10"/>
      <c r="J15" s="10"/>
      <c r="K15" s="10"/>
      <c r="L15" s="10"/>
      <c r="M15" s="10"/>
      <c r="N15" s="10"/>
    </row>
    <row r="16" customFormat="false" ht="30" hidden="false" customHeight="true" outlineLevel="0" collapsed="false">
      <c r="A16" s="10"/>
      <c r="B16" s="10"/>
      <c r="C16" s="10"/>
      <c r="D16" s="10"/>
      <c r="E16" s="10"/>
      <c r="F16" s="10" t="s">
        <v>171</v>
      </c>
      <c r="G16" s="22" t="s">
        <v>194</v>
      </c>
      <c r="H16" s="10"/>
      <c r="I16" s="10"/>
      <c r="J16" s="10"/>
      <c r="K16" s="10"/>
      <c r="L16" s="10"/>
      <c r="M16" s="10"/>
      <c r="N16" s="10"/>
    </row>
    <row r="17" customFormat="false" ht="15" hidden="false" customHeight="true" outlineLevel="0" collapsed="false">
      <c r="A17" s="10" t="s">
        <v>195</v>
      </c>
      <c r="B17" s="10" t="s">
        <v>196</v>
      </c>
      <c r="C17" s="10" t="s">
        <v>186</v>
      </c>
      <c r="D17" s="10" t="s">
        <v>197</v>
      </c>
      <c r="E17" s="10" t="s">
        <v>198</v>
      </c>
      <c r="F17" s="10" t="s">
        <v>152</v>
      </c>
      <c r="G17" s="22" t="s">
        <v>199</v>
      </c>
      <c r="H17" s="10" t="s">
        <v>200</v>
      </c>
      <c r="I17" s="10" t="s">
        <v>201</v>
      </c>
      <c r="J17" s="11"/>
      <c r="K17" s="10" t="s">
        <v>105</v>
      </c>
      <c r="L17" s="10" t="s">
        <v>76</v>
      </c>
      <c r="M17" s="10" t="s">
        <v>83</v>
      </c>
      <c r="N17" s="10" t="s">
        <v>156</v>
      </c>
    </row>
    <row r="18" customFormat="false" ht="15" hidden="false" customHeight="true" outlineLevel="0" collapsed="false">
      <c r="A18" s="10"/>
      <c r="B18" s="10"/>
      <c r="C18" s="10"/>
      <c r="D18" s="10"/>
      <c r="E18" s="10"/>
      <c r="F18" s="10" t="s">
        <v>157</v>
      </c>
      <c r="G18" s="22" t="s">
        <v>202</v>
      </c>
      <c r="H18" s="10"/>
      <c r="I18" s="10"/>
      <c r="J18" s="10"/>
      <c r="K18" s="10"/>
      <c r="L18" s="10"/>
      <c r="M18" s="10"/>
      <c r="N18" s="10"/>
    </row>
    <row r="19" customFormat="false" ht="15" hidden="false" customHeight="true" outlineLevel="0" collapsed="false">
      <c r="A19" s="10" t="s">
        <v>203</v>
      </c>
      <c r="B19" s="10" t="s">
        <v>204</v>
      </c>
      <c r="C19" s="10" t="s">
        <v>205</v>
      </c>
      <c r="D19" s="10" t="s">
        <v>206</v>
      </c>
      <c r="E19" s="10" t="s">
        <v>207</v>
      </c>
      <c r="F19" s="10" t="s">
        <v>152</v>
      </c>
      <c r="G19" s="22" t="s">
        <v>208</v>
      </c>
      <c r="H19" s="10" t="s">
        <v>209</v>
      </c>
      <c r="I19" s="10" t="s">
        <v>210</v>
      </c>
      <c r="J19" s="11"/>
      <c r="K19" s="10" t="s">
        <v>105</v>
      </c>
      <c r="L19" s="10" t="s">
        <v>76</v>
      </c>
      <c r="M19" s="10" t="s">
        <v>102</v>
      </c>
      <c r="N19" s="10" t="s">
        <v>156</v>
      </c>
    </row>
    <row r="20" customFormat="false" ht="15" hidden="false" customHeight="true" outlineLevel="0" collapsed="false">
      <c r="A20" s="10"/>
      <c r="B20" s="10"/>
      <c r="C20" s="10"/>
      <c r="D20" s="10"/>
      <c r="E20" s="10"/>
      <c r="F20" s="10" t="s">
        <v>157</v>
      </c>
      <c r="G20" s="22" t="s">
        <v>211</v>
      </c>
      <c r="H20" s="10"/>
      <c r="I20" s="10"/>
      <c r="J20" s="10"/>
      <c r="K20" s="10"/>
      <c r="L20" s="10"/>
      <c r="M20" s="10"/>
      <c r="N20" s="10"/>
    </row>
    <row r="21" customFormat="false" ht="15" hidden="false" customHeight="true" outlineLevel="0" collapsed="false">
      <c r="A21" s="10"/>
      <c r="B21" s="10"/>
      <c r="C21" s="10"/>
      <c r="D21" s="10"/>
      <c r="E21" s="10"/>
      <c r="F21" s="10" t="s">
        <v>159</v>
      </c>
      <c r="G21" s="22" t="s">
        <v>212</v>
      </c>
      <c r="H21" s="10"/>
      <c r="I21" s="10"/>
      <c r="J21" s="10"/>
      <c r="K21" s="10"/>
      <c r="L21" s="10"/>
      <c r="M21" s="10"/>
      <c r="N21" s="10"/>
    </row>
    <row r="22" customFormat="false" ht="15" hidden="false" customHeight="true" outlineLevel="0" collapsed="false">
      <c r="A22" s="10" t="s">
        <v>213</v>
      </c>
      <c r="B22" s="10" t="s">
        <v>214</v>
      </c>
      <c r="C22" s="10" t="s">
        <v>215</v>
      </c>
      <c r="D22" s="10" t="s">
        <v>216</v>
      </c>
      <c r="E22" s="10" t="s">
        <v>217</v>
      </c>
      <c r="F22" s="10" t="s">
        <v>152</v>
      </c>
      <c r="G22" s="22" t="s">
        <v>218</v>
      </c>
      <c r="H22" s="10" t="s">
        <v>219</v>
      </c>
      <c r="I22" s="10" t="s">
        <v>220</v>
      </c>
      <c r="J22" s="11"/>
      <c r="K22" s="10" t="s">
        <v>105</v>
      </c>
      <c r="L22" s="10" t="s">
        <v>76</v>
      </c>
      <c r="M22" s="10" t="s">
        <v>91</v>
      </c>
      <c r="N22" s="10" t="s">
        <v>156</v>
      </c>
    </row>
    <row r="23" customFormat="false" ht="15" hidden="false" customHeight="true" outlineLevel="0" collapsed="false">
      <c r="A23" s="10"/>
      <c r="B23" s="10"/>
      <c r="C23" s="10"/>
      <c r="D23" s="10"/>
      <c r="E23" s="10"/>
      <c r="F23" s="10" t="s">
        <v>157</v>
      </c>
      <c r="G23" s="22" t="s">
        <v>221</v>
      </c>
      <c r="H23" s="10"/>
      <c r="I23" s="10"/>
      <c r="J23" s="10"/>
      <c r="K23" s="10"/>
      <c r="L23" s="10"/>
      <c r="M23" s="10"/>
      <c r="N23" s="10"/>
    </row>
    <row r="24" customFormat="false" ht="15" hidden="false" customHeight="true" outlineLevel="0" collapsed="false">
      <c r="A24" s="10" t="s">
        <v>222</v>
      </c>
      <c r="B24" s="10" t="s">
        <v>223</v>
      </c>
      <c r="C24" s="10" t="s">
        <v>215</v>
      </c>
      <c r="D24" s="10" t="s">
        <v>224</v>
      </c>
      <c r="E24" s="10" t="s">
        <v>225</v>
      </c>
      <c r="F24" s="10" t="s">
        <v>152</v>
      </c>
      <c r="G24" s="22" t="s">
        <v>226</v>
      </c>
      <c r="H24" s="10" t="s">
        <v>227</v>
      </c>
      <c r="I24" s="10" t="s">
        <v>228</v>
      </c>
      <c r="J24" s="11"/>
      <c r="K24" s="10" t="s">
        <v>105</v>
      </c>
      <c r="L24" s="10" t="s">
        <v>76</v>
      </c>
      <c r="M24" s="10" t="s">
        <v>94</v>
      </c>
      <c r="N24" s="10" t="s">
        <v>156</v>
      </c>
    </row>
    <row r="25" customFormat="false" ht="15" hidden="false" customHeight="true" outlineLevel="0" collapsed="false">
      <c r="A25" s="10"/>
      <c r="B25" s="10"/>
      <c r="C25" s="10"/>
      <c r="D25" s="10"/>
      <c r="E25" s="10"/>
      <c r="F25" s="10" t="s">
        <v>157</v>
      </c>
      <c r="G25" s="22" t="s">
        <v>229</v>
      </c>
      <c r="H25" s="10"/>
      <c r="I25" s="10"/>
      <c r="J25" s="10"/>
      <c r="K25" s="10"/>
      <c r="L25" s="10"/>
      <c r="M25" s="10"/>
      <c r="N25" s="10"/>
    </row>
    <row r="26" customFormat="false" ht="15" hidden="false" customHeight="true" outlineLevel="0" collapsed="false">
      <c r="A26" s="10"/>
      <c r="B26" s="10"/>
      <c r="C26" s="10"/>
      <c r="D26" s="10"/>
      <c r="E26" s="10"/>
      <c r="F26" s="10" t="s">
        <v>159</v>
      </c>
      <c r="G26" s="22" t="s">
        <v>230</v>
      </c>
      <c r="H26" s="10"/>
      <c r="I26" s="10"/>
      <c r="J26" s="10"/>
      <c r="K26" s="10"/>
      <c r="L26" s="10"/>
      <c r="M26" s="10"/>
      <c r="N26" s="10"/>
    </row>
    <row r="27" customFormat="false" ht="15" hidden="false" customHeight="true" outlineLevel="0" collapsed="false">
      <c r="A27" s="10" t="s">
        <v>231</v>
      </c>
      <c r="B27" s="10" t="s">
        <v>232</v>
      </c>
      <c r="C27" s="10" t="s">
        <v>215</v>
      </c>
      <c r="D27" s="10" t="s">
        <v>233</v>
      </c>
      <c r="E27" s="10" t="s">
        <v>225</v>
      </c>
      <c r="F27" s="10" t="s">
        <v>152</v>
      </c>
      <c r="G27" s="22" t="s">
        <v>234</v>
      </c>
      <c r="H27" s="10" t="s">
        <v>235</v>
      </c>
      <c r="I27" s="10" t="s">
        <v>236</v>
      </c>
      <c r="J27" s="11"/>
      <c r="K27" s="10" t="s">
        <v>105</v>
      </c>
      <c r="L27" s="10" t="s">
        <v>76</v>
      </c>
      <c r="M27" s="10" t="s">
        <v>94</v>
      </c>
      <c r="N27" s="10" t="s">
        <v>156</v>
      </c>
    </row>
    <row r="28" customFormat="false" ht="15" hidden="false" customHeight="true" outlineLevel="0" collapsed="false">
      <c r="A28" s="10"/>
      <c r="B28" s="10"/>
      <c r="C28" s="10"/>
      <c r="D28" s="10"/>
      <c r="E28" s="10"/>
      <c r="F28" s="10" t="s">
        <v>157</v>
      </c>
      <c r="G28" s="22" t="s">
        <v>229</v>
      </c>
      <c r="H28" s="10"/>
      <c r="I28" s="10"/>
      <c r="J28" s="10"/>
      <c r="K28" s="10"/>
      <c r="L28" s="10"/>
      <c r="M28" s="10"/>
      <c r="N28" s="10"/>
    </row>
    <row r="29" customFormat="false" ht="15" hidden="false" customHeight="true" outlineLevel="0" collapsed="false">
      <c r="A29" s="10"/>
      <c r="B29" s="10"/>
      <c r="C29" s="10"/>
      <c r="D29" s="10"/>
      <c r="E29" s="10"/>
      <c r="F29" s="10" t="s">
        <v>159</v>
      </c>
      <c r="G29" s="22" t="s">
        <v>230</v>
      </c>
      <c r="H29" s="10"/>
      <c r="I29" s="10"/>
      <c r="J29" s="10"/>
      <c r="K29" s="10"/>
      <c r="L29" s="10"/>
      <c r="M29" s="10"/>
      <c r="N29" s="10"/>
    </row>
    <row r="30" customFormat="false" ht="26.25" hidden="false" customHeight="true" outlineLevel="0" collapsed="false">
      <c r="A30" s="10" t="s">
        <v>237</v>
      </c>
      <c r="B30" s="10" t="s">
        <v>238</v>
      </c>
      <c r="C30" s="10" t="s">
        <v>239</v>
      </c>
      <c r="D30" s="10" t="s">
        <v>240</v>
      </c>
      <c r="E30" s="10" t="s">
        <v>217</v>
      </c>
      <c r="F30" s="10" t="s">
        <v>152</v>
      </c>
      <c r="G30" s="22" t="s">
        <v>241</v>
      </c>
      <c r="H30" s="10" t="s">
        <v>242</v>
      </c>
      <c r="I30" s="10" t="s">
        <v>243</v>
      </c>
      <c r="J30" s="11"/>
      <c r="K30" s="10" t="s">
        <v>105</v>
      </c>
      <c r="L30" s="10" t="s">
        <v>76</v>
      </c>
      <c r="M30" s="10" t="s">
        <v>91</v>
      </c>
      <c r="N30" s="10" t="s">
        <v>156</v>
      </c>
    </row>
    <row r="31" customFormat="false" ht="33.75" hidden="false" customHeight="true" outlineLevel="0" collapsed="false">
      <c r="A31" s="10"/>
      <c r="B31" s="10"/>
      <c r="C31" s="10"/>
      <c r="D31" s="10"/>
      <c r="E31" s="10"/>
      <c r="F31" s="10" t="s">
        <v>157</v>
      </c>
      <c r="G31" s="22" t="s">
        <v>244</v>
      </c>
      <c r="H31" s="10"/>
      <c r="I31" s="10"/>
      <c r="J31" s="10"/>
      <c r="K31" s="10"/>
      <c r="L31" s="10"/>
      <c r="M31" s="10"/>
      <c r="N31" s="10"/>
    </row>
    <row r="32" customFormat="false" ht="15" hidden="false" customHeight="true" outlineLevel="0" collapsed="false">
      <c r="A32" s="10" t="s">
        <v>245</v>
      </c>
      <c r="B32" s="10" t="s">
        <v>246</v>
      </c>
      <c r="C32" s="10" t="s">
        <v>247</v>
      </c>
      <c r="D32" s="10" t="s">
        <v>248</v>
      </c>
      <c r="E32" s="10" t="s">
        <v>249</v>
      </c>
      <c r="F32" s="10" t="s">
        <v>152</v>
      </c>
      <c r="G32" s="22" t="s">
        <v>250</v>
      </c>
      <c r="H32" s="10" t="s">
        <v>251</v>
      </c>
      <c r="I32" s="10" t="s">
        <v>252</v>
      </c>
      <c r="J32" s="11"/>
      <c r="K32" s="10" t="s">
        <v>105</v>
      </c>
      <c r="L32" s="10" t="s">
        <v>76</v>
      </c>
      <c r="M32" s="10" t="s">
        <v>88</v>
      </c>
      <c r="N32" s="10" t="s">
        <v>156</v>
      </c>
    </row>
    <row r="33" customFormat="false" ht="15" hidden="false" customHeight="true" outlineLevel="0" collapsed="false">
      <c r="A33" s="10"/>
      <c r="B33" s="10"/>
      <c r="C33" s="10"/>
      <c r="D33" s="10"/>
      <c r="E33" s="10"/>
      <c r="F33" s="10" t="s">
        <v>157</v>
      </c>
      <c r="G33" s="22" t="s">
        <v>253</v>
      </c>
      <c r="H33" s="10"/>
      <c r="I33" s="10"/>
      <c r="J33" s="10"/>
      <c r="K33" s="10"/>
      <c r="L33" s="10"/>
      <c r="M33" s="10"/>
      <c r="N33" s="10"/>
    </row>
    <row r="34" customFormat="false" ht="15" hidden="false" customHeight="true" outlineLevel="0" collapsed="false">
      <c r="A34" s="10"/>
      <c r="B34" s="10"/>
      <c r="C34" s="10"/>
      <c r="D34" s="10"/>
      <c r="E34" s="10"/>
      <c r="F34" s="10" t="s">
        <v>159</v>
      </c>
      <c r="G34" s="22" t="s">
        <v>254</v>
      </c>
      <c r="H34" s="10"/>
      <c r="I34" s="10"/>
      <c r="J34" s="10"/>
      <c r="K34" s="10"/>
      <c r="L34" s="10"/>
      <c r="M34" s="10"/>
      <c r="N34" s="10"/>
    </row>
    <row r="35" customFormat="false" ht="15" hidden="false" customHeight="true" outlineLevel="0" collapsed="false">
      <c r="A35" s="10"/>
      <c r="B35" s="10"/>
      <c r="C35" s="10"/>
      <c r="D35" s="10"/>
      <c r="E35" s="10"/>
      <c r="F35" s="10" t="s">
        <v>171</v>
      </c>
      <c r="G35" s="22" t="s">
        <v>255</v>
      </c>
      <c r="H35" s="10"/>
      <c r="I35" s="10"/>
      <c r="J35" s="10"/>
      <c r="K35" s="10"/>
      <c r="L35" s="10"/>
      <c r="M35" s="10"/>
      <c r="N35" s="10"/>
    </row>
    <row r="36" customFormat="false" ht="15" hidden="false" customHeight="true" outlineLevel="0" collapsed="false">
      <c r="A36" s="10"/>
      <c r="B36" s="10"/>
      <c r="C36" s="10"/>
      <c r="D36" s="10"/>
      <c r="E36" s="10"/>
      <c r="F36" s="10" t="s">
        <v>256</v>
      </c>
      <c r="G36" s="22" t="s">
        <v>257</v>
      </c>
      <c r="H36" s="10"/>
      <c r="I36" s="10"/>
      <c r="J36" s="10"/>
      <c r="K36" s="10"/>
      <c r="L36" s="10"/>
      <c r="M36" s="10"/>
      <c r="N36" s="10"/>
    </row>
    <row r="37" customFormat="false" ht="15" hidden="false" customHeight="true" outlineLevel="0" collapsed="false">
      <c r="A37" s="10" t="s">
        <v>258</v>
      </c>
      <c r="B37" s="10" t="s">
        <v>259</v>
      </c>
      <c r="C37" s="10" t="s">
        <v>260</v>
      </c>
      <c r="D37" s="10" t="s">
        <v>261</v>
      </c>
      <c r="E37" s="10" t="s">
        <v>262</v>
      </c>
      <c r="F37" s="10" t="s">
        <v>152</v>
      </c>
      <c r="G37" s="22" t="s">
        <v>263</v>
      </c>
      <c r="H37" s="10" t="s">
        <v>264</v>
      </c>
      <c r="I37" s="10" t="s">
        <v>265</v>
      </c>
      <c r="J37" s="11"/>
      <c r="K37" s="10" t="s">
        <v>105</v>
      </c>
      <c r="L37" s="10" t="s">
        <v>76</v>
      </c>
      <c r="M37" s="10" t="s">
        <v>91</v>
      </c>
      <c r="N37" s="10" t="s">
        <v>156</v>
      </c>
    </row>
    <row r="38" customFormat="false" ht="15" hidden="false" customHeight="true" outlineLevel="0" collapsed="false">
      <c r="A38" s="10"/>
      <c r="B38" s="10"/>
      <c r="C38" s="10"/>
      <c r="D38" s="10"/>
      <c r="E38" s="10"/>
      <c r="F38" s="10" t="s">
        <v>157</v>
      </c>
      <c r="G38" s="22" t="s">
        <v>266</v>
      </c>
      <c r="H38" s="10"/>
      <c r="I38" s="10"/>
      <c r="J38" s="10"/>
      <c r="K38" s="10"/>
      <c r="L38" s="10"/>
      <c r="M38" s="10"/>
      <c r="N38" s="10"/>
    </row>
    <row r="39" customFormat="false" ht="15" hidden="false" customHeight="true" outlineLevel="0" collapsed="false">
      <c r="A39" s="10"/>
      <c r="B39" s="10"/>
      <c r="C39" s="10"/>
      <c r="D39" s="10"/>
      <c r="E39" s="10"/>
      <c r="F39" s="10" t="s">
        <v>159</v>
      </c>
      <c r="G39" s="22" t="s">
        <v>267</v>
      </c>
      <c r="H39" s="10"/>
      <c r="I39" s="10"/>
      <c r="J39" s="10"/>
      <c r="K39" s="10"/>
      <c r="L39" s="10"/>
      <c r="M39" s="10"/>
      <c r="N39" s="10"/>
    </row>
    <row r="40" customFormat="false" ht="15" hidden="false" customHeight="true" outlineLevel="0" collapsed="false">
      <c r="A40" s="10"/>
      <c r="B40" s="10"/>
      <c r="C40" s="10"/>
      <c r="D40" s="10"/>
      <c r="E40" s="10"/>
      <c r="F40" s="10" t="s">
        <v>171</v>
      </c>
      <c r="G40" s="22" t="s">
        <v>268</v>
      </c>
      <c r="H40" s="10"/>
      <c r="I40" s="10"/>
      <c r="J40" s="10"/>
      <c r="K40" s="10"/>
      <c r="L40" s="10"/>
      <c r="M40" s="10"/>
      <c r="N40" s="10"/>
    </row>
    <row r="41" customFormat="false" ht="30" hidden="false" customHeight="true" outlineLevel="0" collapsed="false">
      <c r="A41" s="10" t="s">
        <v>269</v>
      </c>
      <c r="B41" s="10" t="s">
        <v>270</v>
      </c>
      <c r="C41" s="10" t="s">
        <v>239</v>
      </c>
      <c r="D41" s="10" t="s">
        <v>271</v>
      </c>
      <c r="E41" s="10" t="s">
        <v>272</v>
      </c>
      <c r="F41" s="10" t="s">
        <v>152</v>
      </c>
      <c r="G41" s="22" t="s">
        <v>273</v>
      </c>
      <c r="H41" s="10" t="s">
        <v>274</v>
      </c>
      <c r="I41" s="10" t="s">
        <v>275</v>
      </c>
      <c r="J41" s="11"/>
      <c r="K41" s="10" t="s">
        <v>105</v>
      </c>
      <c r="L41" s="10" t="s">
        <v>76</v>
      </c>
      <c r="M41" s="10" t="s">
        <v>83</v>
      </c>
      <c r="N41" s="10" t="s">
        <v>156</v>
      </c>
    </row>
    <row r="42" customFormat="false" ht="33" hidden="false" customHeight="true" outlineLevel="0" collapsed="false">
      <c r="A42" s="10"/>
      <c r="B42" s="10"/>
      <c r="C42" s="10"/>
      <c r="D42" s="10"/>
      <c r="E42" s="10"/>
      <c r="F42" s="10" t="s">
        <v>157</v>
      </c>
      <c r="G42" s="22" t="s">
        <v>276</v>
      </c>
      <c r="H42" s="10"/>
      <c r="I42" s="10"/>
      <c r="J42" s="10"/>
      <c r="K42" s="10"/>
      <c r="L42" s="10"/>
      <c r="M42" s="10"/>
      <c r="N42" s="10"/>
    </row>
    <row r="43" customFormat="false" ht="15" hidden="false" customHeight="true" outlineLevel="0" collapsed="false">
      <c r="A43" s="10" t="s">
        <v>277</v>
      </c>
      <c r="B43" s="10" t="s">
        <v>278</v>
      </c>
      <c r="C43" s="10" t="s">
        <v>279</v>
      </c>
      <c r="D43" s="10" t="s">
        <v>280</v>
      </c>
      <c r="E43" s="10" t="s">
        <v>281</v>
      </c>
      <c r="F43" s="10" t="s">
        <v>152</v>
      </c>
      <c r="G43" s="22" t="s">
        <v>282</v>
      </c>
      <c r="H43" s="10" t="s">
        <v>283</v>
      </c>
      <c r="I43" s="10" t="s">
        <v>284</v>
      </c>
      <c r="J43" s="11"/>
      <c r="K43" s="10" t="s">
        <v>105</v>
      </c>
      <c r="L43" s="10" t="s">
        <v>76</v>
      </c>
      <c r="M43" s="10" t="s">
        <v>91</v>
      </c>
      <c r="N43" s="10" t="s">
        <v>285</v>
      </c>
    </row>
    <row r="44" customFormat="false" ht="15" hidden="false" customHeight="true" outlineLevel="0" collapsed="false">
      <c r="A44" s="10"/>
      <c r="B44" s="10"/>
      <c r="C44" s="10"/>
      <c r="D44" s="10"/>
      <c r="E44" s="10"/>
      <c r="F44" s="10" t="s">
        <v>157</v>
      </c>
      <c r="G44" s="22" t="s">
        <v>286</v>
      </c>
      <c r="H44" s="10"/>
      <c r="I44" s="10"/>
      <c r="J44" s="10"/>
      <c r="K44" s="10"/>
      <c r="L44" s="10"/>
      <c r="M44" s="10"/>
      <c r="N44" s="10"/>
    </row>
    <row r="45" customFormat="false" ht="15" hidden="false" customHeight="true" outlineLevel="0" collapsed="false">
      <c r="A45" s="10"/>
      <c r="B45" s="10"/>
      <c r="C45" s="10"/>
      <c r="D45" s="10"/>
      <c r="E45" s="10"/>
      <c r="F45" s="10" t="s">
        <v>159</v>
      </c>
      <c r="G45" s="22" t="s">
        <v>287</v>
      </c>
      <c r="H45" s="10"/>
      <c r="I45" s="10"/>
      <c r="J45" s="10"/>
      <c r="K45" s="10"/>
      <c r="L45" s="10"/>
      <c r="M45" s="10"/>
      <c r="N45" s="10"/>
    </row>
    <row r="46" customFormat="false" ht="15" hidden="false" customHeight="true" outlineLevel="0" collapsed="false">
      <c r="A46" s="10" t="s">
        <v>288</v>
      </c>
      <c r="B46" s="10" t="s">
        <v>289</v>
      </c>
      <c r="C46" s="10" t="s">
        <v>87</v>
      </c>
      <c r="D46" s="10" t="s">
        <v>290</v>
      </c>
      <c r="E46" s="10" t="s">
        <v>291</v>
      </c>
      <c r="F46" s="10" t="s">
        <v>152</v>
      </c>
      <c r="G46" s="22" t="s">
        <v>292</v>
      </c>
      <c r="H46" s="10" t="s">
        <v>293</v>
      </c>
      <c r="I46" s="10" t="s">
        <v>294</v>
      </c>
      <c r="J46" s="11"/>
      <c r="K46" s="10" t="s">
        <v>105</v>
      </c>
      <c r="L46" s="10" t="s">
        <v>76</v>
      </c>
      <c r="M46" s="10" t="s">
        <v>87</v>
      </c>
      <c r="N46" s="10" t="s">
        <v>156</v>
      </c>
    </row>
    <row r="47" customFormat="false" ht="15" hidden="false" customHeight="true" outlineLevel="0" collapsed="false">
      <c r="A47" s="10"/>
      <c r="B47" s="10"/>
      <c r="C47" s="10"/>
      <c r="D47" s="10"/>
      <c r="E47" s="10"/>
      <c r="F47" s="10" t="s">
        <v>157</v>
      </c>
      <c r="G47" s="22" t="s">
        <v>295</v>
      </c>
      <c r="H47" s="10"/>
      <c r="I47" s="10"/>
      <c r="J47" s="10"/>
      <c r="K47" s="10"/>
      <c r="L47" s="10"/>
      <c r="M47" s="10"/>
      <c r="N47" s="10"/>
    </row>
    <row r="48" customFormat="false" ht="15" hidden="false" customHeight="true" outlineLevel="0" collapsed="false">
      <c r="A48" s="10"/>
      <c r="B48" s="10"/>
      <c r="C48" s="10"/>
      <c r="D48" s="10"/>
      <c r="E48" s="10"/>
      <c r="F48" s="10" t="s">
        <v>159</v>
      </c>
      <c r="G48" s="22" t="s">
        <v>296</v>
      </c>
      <c r="H48" s="10"/>
      <c r="I48" s="10"/>
      <c r="J48" s="10"/>
      <c r="K48" s="10"/>
      <c r="L48" s="10"/>
      <c r="M48" s="10"/>
      <c r="N48" s="10"/>
    </row>
    <row r="49" customFormat="false" ht="15" hidden="false" customHeight="true" outlineLevel="0" collapsed="false">
      <c r="A49" s="10" t="s">
        <v>297</v>
      </c>
      <c r="B49" s="10" t="s">
        <v>298</v>
      </c>
      <c r="C49" s="10" t="s">
        <v>87</v>
      </c>
      <c r="D49" s="10" t="s">
        <v>299</v>
      </c>
      <c r="E49" s="10" t="s">
        <v>291</v>
      </c>
      <c r="F49" s="10" t="s">
        <v>152</v>
      </c>
      <c r="G49" s="22" t="s">
        <v>300</v>
      </c>
      <c r="H49" s="25" t="s">
        <v>301</v>
      </c>
      <c r="I49" s="10" t="s">
        <v>302</v>
      </c>
      <c r="J49" s="26"/>
      <c r="K49" s="10" t="s">
        <v>105</v>
      </c>
      <c r="L49" s="10" t="s">
        <v>76</v>
      </c>
      <c r="M49" s="10" t="s">
        <v>87</v>
      </c>
      <c r="N49" s="10" t="s">
        <v>285</v>
      </c>
    </row>
    <row r="50" customFormat="false" ht="15" hidden="false" customHeight="true" outlineLevel="0" collapsed="false">
      <c r="A50" s="10"/>
      <c r="B50" s="10"/>
      <c r="C50" s="10"/>
      <c r="D50" s="10"/>
      <c r="E50" s="10"/>
      <c r="F50" s="10" t="s">
        <v>157</v>
      </c>
      <c r="G50" s="22" t="s">
        <v>303</v>
      </c>
      <c r="H50" s="25"/>
      <c r="I50" s="25"/>
      <c r="J50" s="25"/>
      <c r="K50" s="10"/>
      <c r="L50" s="10"/>
      <c r="M50" s="10"/>
      <c r="N50" s="10"/>
    </row>
    <row r="51" customFormat="false" ht="15" hidden="false" customHeight="true" outlineLevel="0" collapsed="false">
      <c r="A51" s="10" t="s">
        <v>304</v>
      </c>
      <c r="B51" s="10" t="s">
        <v>305</v>
      </c>
      <c r="C51" s="10" t="s">
        <v>306</v>
      </c>
      <c r="D51" s="10" t="s">
        <v>307</v>
      </c>
      <c r="E51" s="10" t="s">
        <v>308</v>
      </c>
      <c r="F51" s="10" t="s">
        <v>152</v>
      </c>
      <c r="G51" s="22" t="s">
        <v>309</v>
      </c>
      <c r="H51" s="10" t="s">
        <v>310</v>
      </c>
      <c r="I51" s="11" t="s">
        <v>311</v>
      </c>
      <c r="J51" s="11"/>
      <c r="K51" s="10" t="s">
        <v>105</v>
      </c>
      <c r="L51" s="10" t="s">
        <v>76</v>
      </c>
      <c r="M51" s="10" t="s">
        <v>91</v>
      </c>
      <c r="N51" s="10" t="s">
        <v>156</v>
      </c>
    </row>
    <row r="52" customFormat="false" ht="15" hidden="false" customHeight="true" outlineLevel="0" collapsed="false">
      <c r="A52" s="10"/>
      <c r="B52" s="10"/>
      <c r="C52" s="10"/>
      <c r="D52" s="10"/>
      <c r="E52" s="10"/>
      <c r="F52" s="10" t="s">
        <v>157</v>
      </c>
      <c r="G52" s="22" t="s">
        <v>312</v>
      </c>
      <c r="H52" s="10"/>
      <c r="I52" s="10"/>
      <c r="J52" s="10"/>
      <c r="K52" s="10"/>
      <c r="L52" s="10"/>
      <c r="M52" s="10"/>
      <c r="N52" s="10"/>
    </row>
    <row r="53" customFormat="false" ht="15" hidden="false" customHeight="true" outlineLevel="0" collapsed="false">
      <c r="A53" s="10"/>
      <c r="B53" s="10"/>
      <c r="C53" s="10"/>
      <c r="D53" s="10"/>
      <c r="E53" s="10"/>
      <c r="F53" s="10" t="s">
        <v>159</v>
      </c>
      <c r="G53" s="22" t="s">
        <v>313</v>
      </c>
      <c r="H53" s="10"/>
      <c r="I53" s="10"/>
      <c r="J53" s="10"/>
      <c r="K53" s="10"/>
      <c r="L53" s="10"/>
      <c r="M53" s="10"/>
      <c r="N53" s="10"/>
    </row>
    <row r="54" customFormat="false" ht="15" hidden="false" customHeight="true" outlineLevel="0" collapsed="false">
      <c r="A54" s="10" t="s">
        <v>314</v>
      </c>
      <c r="B54" s="10" t="s">
        <v>315</v>
      </c>
      <c r="C54" s="10" t="s">
        <v>306</v>
      </c>
      <c r="D54" s="10" t="s">
        <v>316</v>
      </c>
      <c r="E54" s="10" t="s">
        <v>308</v>
      </c>
      <c r="F54" s="10" t="s">
        <v>152</v>
      </c>
      <c r="G54" s="22" t="s">
        <v>317</v>
      </c>
      <c r="H54" s="10" t="s">
        <v>318</v>
      </c>
      <c r="I54" s="10" t="s">
        <v>319</v>
      </c>
      <c r="J54" s="11"/>
      <c r="K54" s="10" t="s">
        <v>105</v>
      </c>
      <c r="L54" s="10" t="s">
        <v>76</v>
      </c>
      <c r="M54" s="10" t="s">
        <v>91</v>
      </c>
      <c r="N54" s="10" t="s">
        <v>156</v>
      </c>
    </row>
    <row r="55" customFormat="false" ht="15" hidden="false" customHeight="true" outlineLevel="0" collapsed="false">
      <c r="A55" s="10"/>
      <c r="B55" s="10"/>
      <c r="C55" s="10"/>
      <c r="D55" s="10"/>
      <c r="E55" s="10"/>
      <c r="F55" s="10" t="s">
        <v>157</v>
      </c>
      <c r="G55" s="22" t="s">
        <v>320</v>
      </c>
      <c r="H55" s="10"/>
      <c r="I55" s="10"/>
      <c r="J55" s="10"/>
      <c r="K55" s="10"/>
      <c r="L55" s="10"/>
      <c r="M55" s="10"/>
      <c r="N55" s="10"/>
    </row>
    <row r="56" customFormat="false" ht="15" hidden="false" customHeight="true" outlineLevel="0" collapsed="false">
      <c r="A56" s="10"/>
      <c r="B56" s="10"/>
      <c r="C56" s="10"/>
      <c r="D56" s="10"/>
      <c r="E56" s="10"/>
      <c r="F56" s="10" t="s">
        <v>159</v>
      </c>
      <c r="G56" s="22" t="s">
        <v>321</v>
      </c>
      <c r="H56" s="10"/>
      <c r="I56" s="10"/>
      <c r="J56" s="10"/>
      <c r="K56" s="10"/>
      <c r="L56" s="10"/>
      <c r="M56" s="10"/>
      <c r="N56" s="10"/>
    </row>
    <row r="57" customFormat="false" ht="15" hidden="false" customHeight="true" outlineLevel="0" collapsed="false">
      <c r="A57" s="10" t="s">
        <v>322</v>
      </c>
      <c r="B57" s="10" t="s">
        <v>323</v>
      </c>
      <c r="C57" s="10" t="s">
        <v>324</v>
      </c>
      <c r="D57" s="10" t="s">
        <v>325</v>
      </c>
      <c r="E57" s="10" t="s">
        <v>326</v>
      </c>
      <c r="F57" s="10" t="s">
        <v>152</v>
      </c>
      <c r="G57" s="22" t="s">
        <v>327</v>
      </c>
      <c r="H57" s="10" t="s">
        <v>328</v>
      </c>
      <c r="I57" s="10" t="s">
        <v>329</v>
      </c>
      <c r="J57" s="10"/>
      <c r="K57" s="10" t="s">
        <v>107</v>
      </c>
      <c r="L57" s="10" t="s">
        <v>76</v>
      </c>
      <c r="M57" s="10" t="s">
        <v>91</v>
      </c>
      <c r="N57" s="10" t="s">
        <v>156</v>
      </c>
    </row>
    <row r="58" customFormat="false" ht="15" hidden="false" customHeight="true" outlineLevel="0" collapsed="false">
      <c r="A58" s="10"/>
      <c r="B58" s="10"/>
      <c r="C58" s="10"/>
      <c r="D58" s="10"/>
      <c r="E58" s="10"/>
      <c r="F58" s="10" t="s">
        <v>157</v>
      </c>
      <c r="G58" s="22" t="s">
        <v>229</v>
      </c>
      <c r="H58" s="10"/>
      <c r="I58" s="10"/>
      <c r="J58" s="10"/>
      <c r="K58" s="10"/>
      <c r="L58" s="10"/>
      <c r="M58" s="10"/>
      <c r="N58" s="10"/>
    </row>
    <row r="59" customFormat="false" ht="15" hidden="false" customHeight="true" outlineLevel="0" collapsed="false">
      <c r="A59" s="10"/>
      <c r="B59" s="10"/>
      <c r="C59" s="10"/>
      <c r="D59" s="10"/>
      <c r="E59" s="10"/>
      <c r="F59" s="10" t="s">
        <v>159</v>
      </c>
      <c r="G59" s="22" t="s">
        <v>330</v>
      </c>
      <c r="H59" s="10"/>
      <c r="I59" s="10"/>
      <c r="J59" s="10"/>
      <c r="K59" s="10"/>
      <c r="L59" s="10"/>
      <c r="M59" s="10"/>
      <c r="N59" s="10"/>
    </row>
    <row r="60" customFormat="false" ht="27.75" hidden="false" customHeight="true" outlineLevel="0" collapsed="false">
      <c r="A60" s="10" t="s">
        <v>331</v>
      </c>
      <c r="B60" s="10" t="s">
        <v>332</v>
      </c>
      <c r="C60" s="10" t="s">
        <v>333</v>
      </c>
      <c r="D60" s="10" t="s">
        <v>334</v>
      </c>
      <c r="E60" s="10" t="s">
        <v>335</v>
      </c>
      <c r="F60" s="10" t="s">
        <v>152</v>
      </c>
      <c r="G60" s="22" t="s">
        <v>336</v>
      </c>
      <c r="H60" s="10" t="s">
        <v>337</v>
      </c>
      <c r="I60" s="10" t="s">
        <v>338</v>
      </c>
      <c r="J60" s="10"/>
      <c r="K60" s="10" t="s">
        <v>105</v>
      </c>
      <c r="L60" s="10" t="s">
        <v>76</v>
      </c>
      <c r="M60" s="10" t="s">
        <v>93</v>
      </c>
      <c r="N60" s="10" t="s">
        <v>156</v>
      </c>
    </row>
    <row r="61" customFormat="false" ht="15" hidden="false" customHeight="true" outlineLevel="0" collapsed="false">
      <c r="A61" s="10"/>
      <c r="B61" s="10"/>
      <c r="C61" s="10"/>
      <c r="D61" s="10"/>
      <c r="E61" s="10"/>
      <c r="F61" s="10" t="s">
        <v>157</v>
      </c>
      <c r="G61" s="22" t="s">
        <v>339</v>
      </c>
      <c r="H61" s="10"/>
      <c r="I61" s="10"/>
      <c r="J61" s="10"/>
      <c r="K61" s="10"/>
      <c r="L61" s="10"/>
      <c r="M61" s="10"/>
      <c r="N61" s="10"/>
    </row>
    <row r="62" customFormat="false" ht="15" hidden="false" customHeight="true" outlineLevel="0" collapsed="false">
      <c r="A62" s="10"/>
      <c r="B62" s="10"/>
      <c r="C62" s="10"/>
      <c r="D62" s="10"/>
      <c r="E62" s="10"/>
      <c r="F62" s="10" t="s">
        <v>159</v>
      </c>
      <c r="G62" s="22" t="s">
        <v>340</v>
      </c>
      <c r="H62" s="10"/>
      <c r="I62" s="10"/>
      <c r="J62" s="10"/>
      <c r="K62" s="10"/>
      <c r="L62" s="10"/>
      <c r="M62" s="10"/>
      <c r="N62" s="10"/>
    </row>
    <row r="63" customFormat="false" ht="15" hidden="false" customHeight="true" outlineLevel="0" collapsed="false">
      <c r="A63" s="10" t="s">
        <v>341</v>
      </c>
      <c r="B63" s="10" t="s">
        <v>342</v>
      </c>
      <c r="C63" s="10" t="s">
        <v>343</v>
      </c>
      <c r="D63" s="10" t="s">
        <v>344</v>
      </c>
      <c r="E63" s="10" t="s">
        <v>345</v>
      </c>
      <c r="F63" s="10" t="s">
        <v>152</v>
      </c>
      <c r="G63" s="22" t="s">
        <v>346</v>
      </c>
      <c r="H63" s="10" t="s">
        <v>347</v>
      </c>
      <c r="I63" s="10" t="s">
        <v>348</v>
      </c>
      <c r="J63" s="11"/>
      <c r="K63" s="10" t="s">
        <v>105</v>
      </c>
      <c r="L63" s="10" t="s">
        <v>76</v>
      </c>
      <c r="M63" s="10" t="s">
        <v>82</v>
      </c>
      <c r="N63" s="10" t="s">
        <v>285</v>
      </c>
    </row>
    <row r="64" customFormat="false" ht="15" hidden="false" customHeight="true" outlineLevel="0" collapsed="false">
      <c r="A64" s="10"/>
      <c r="B64" s="10"/>
      <c r="C64" s="10"/>
      <c r="D64" s="10"/>
      <c r="E64" s="10"/>
      <c r="F64" s="10" t="s">
        <v>157</v>
      </c>
      <c r="G64" s="22" t="s">
        <v>349</v>
      </c>
      <c r="H64" s="10"/>
      <c r="I64" s="10"/>
      <c r="J64" s="10"/>
      <c r="K64" s="10"/>
      <c r="L64" s="10"/>
      <c r="M64" s="10"/>
      <c r="N64" s="10"/>
    </row>
    <row r="65" customFormat="false" ht="15" hidden="false" customHeight="true" outlineLevel="0" collapsed="false">
      <c r="A65" s="10"/>
      <c r="B65" s="10"/>
      <c r="C65" s="10"/>
      <c r="D65" s="10"/>
      <c r="E65" s="10"/>
      <c r="F65" s="10" t="s">
        <v>159</v>
      </c>
      <c r="G65" s="22" t="s">
        <v>350</v>
      </c>
      <c r="H65" s="10"/>
      <c r="I65" s="10"/>
      <c r="J65" s="10"/>
      <c r="K65" s="10"/>
      <c r="L65" s="10"/>
      <c r="M65" s="10"/>
      <c r="N65" s="10"/>
    </row>
    <row r="66" customFormat="false" ht="15" hidden="false" customHeight="true" outlineLevel="0" collapsed="false">
      <c r="A66" s="10" t="s">
        <v>351</v>
      </c>
      <c r="B66" s="10" t="s">
        <v>352</v>
      </c>
      <c r="C66" s="10" t="s">
        <v>353</v>
      </c>
      <c r="D66" s="10" t="s">
        <v>354</v>
      </c>
      <c r="E66" s="10" t="s">
        <v>308</v>
      </c>
      <c r="F66" s="10" t="s">
        <v>152</v>
      </c>
      <c r="G66" s="22" t="s">
        <v>355</v>
      </c>
      <c r="H66" s="10" t="s">
        <v>310</v>
      </c>
      <c r="I66" s="10" t="s">
        <v>356</v>
      </c>
      <c r="J66" s="11"/>
      <c r="K66" s="10" t="s">
        <v>105</v>
      </c>
      <c r="L66" s="10" t="s">
        <v>76</v>
      </c>
      <c r="M66" s="10" t="s">
        <v>82</v>
      </c>
      <c r="N66" s="10" t="s">
        <v>285</v>
      </c>
    </row>
    <row r="67" customFormat="false" ht="15" hidden="false" customHeight="true" outlineLevel="0" collapsed="false">
      <c r="A67" s="10"/>
      <c r="B67" s="10"/>
      <c r="C67" s="10"/>
      <c r="D67" s="10"/>
      <c r="E67" s="10"/>
      <c r="F67" s="10" t="s">
        <v>157</v>
      </c>
      <c r="G67" s="22" t="s">
        <v>357</v>
      </c>
      <c r="H67" s="10"/>
      <c r="I67" s="10"/>
      <c r="J67" s="10"/>
      <c r="K67" s="10"/>
      <c r="L67" s="10"/>
      <c r="M67" s="10"/>
      <c r="N67" s="10"/>
    </row>
    <row r="68" customFormat="false" ht="15" hidden="false" customHeight="true" outlineLevel="0" collapsed="false">
      <c r="A68" s="10"/>
      <c r="B68" s="10"/>
      <c r="C68" s="10"/>
      <c r="D68" s="10"/>
      <c r="E68" s="10"/>
      <c r="F68" s="10" t="s">
        <v>159</v>
      </c>
      <c r="G68" s="22" t="s">
        <v>358</v>
      </c>
      <c r="H68" s="10"/>
      <c r="I68" s="10"/>
      <c r="J68" s="10"/>
      <c r="K68" s="10"/>
      <c r="L68" s="10"/>
      <c r="M68" s="10"/>
      <c r="N68" s="10"/>
    </row>
    <row r="69" customFormat="false" ht="15" hidden="false" customHeight="true" outlineLevel="0" collapsed="false">
      <c r="A69" s="10" t="s">
        <v>359</v>
      </c>
      <c r="B69" s="10" t="s">
        <v>360</v>
      </c>
      <c r="C69" s="10" t="s">
        <v>361</v>
      </c>
      <c r="D69" s="10" t="s">
        <v>362</v>
      </c>
      <c r="E69" s="11" t="s">
        <v>363</v>
      </c>
      <c r="F69" s="10" t="s">
        <v>152</v>
      </c>
      <c r="G69" s="22" t="s">
        <v>364</v>
      </c>
      <c r="H69" s="10" t="s">
        <v>365</v>
      </c>
      <c r="I69" s="10" t="s">
        <v>366</v>
      </c>
      <c r="J69" s="11"/>
      <c r="K69" s="10" t="s">
        <v>105</v>
      </c>
      <c r="L69" s="10" t="s">
        <v>76</v>
      </c>
      <c r="M69" s="10" t="s">
        <v>82</v>
      </c>
      <c r="N69" s="10" t="s">
        <v>285</v>
      </c>
    </row>
    <row r="70" customFormat="false" ht="15" hidden="false" customHeight="true" outlineLevel="0" collapsed="false">
      <c r="A70" s="10"/>
      <c r="B70" s="10"/>
      <c r="C70" s="10"/>
      <c r="D70" s="10"/>
      <c r="E70" s="10"/>
      <c r="F70" s="10" t="s">
        <v>157</v>
      </c>
      <c r="G70" s="22" t="s">
        <v>367</v>
      </c>
      <c r="H70" s="10"/>
      <c r="I70" s="10"/>
      <c r="J70" s="10"/>
      <c r="K70" s="10"/>
      <c r="L70" s="10"/>
      <c r="M70" s="10"/>
      <c r="N70" s="10"/>
    </row>
    <row r="71" customFormat="false" ht="31.5" hidden="false" customHeight="true" outlineLevel="0" collapsed="false">
      <c r="A71" s="10"/>
      <c r="B71" s="10"/>
      <c r="C71" s="10"/>
      <c r="D71" s="10"/>
      <c r="E71" s="10"/>
      <c r="F71" s="10" t="s">
        <v>159</v>
      </c>
      <c r="G71" s="22" t="s">
        <v>368</v>
      </c>
      <c r="H71" s="10"/>
      <c r="I71" s="10"/>
      <c r="J71" s="10"/>
      <c r="K71" s="10"/>
      <c r="L71" s="10"/>
      <c r="M71" s="10"/>
      <c r="N71" s="10"/>
    </row>
    <row r="72" customFormat="false" ht="15" hidden="false" customHeight="true" outlineLevel="0" collapsed="false">
      <c r="A72" s="10" t="s">
        <v>369</v>
      </c>
      <c r="B72" s="10" t="s">
        <v>370</v>
      </c>
      <c r="C72" s="10" t="s">
        <v>371</v>
      </c>
      <c r="D72" s="10" t="s">
        <v>372</v>
      </c>
      <c r="E72" s="10" t="s">
        <v>373</v>
      </c>
      <c r="F72" s="10" t="s">
        <v>152</v>
      </c>
      <c r="G72" s="22" t="s">
        <v>374</v>
      </c>
      <c r="H72" s="10" t="s">
        <v>375</v>
      </c>
      <c r="I72" s="10" t="s">
        <v>376</v>
      </c>
      <c r="J72" s="11"/>
      <c r="K72" s="10" t="s">
        <v>106</v>
      </c>
      <c r="L72" s="10" t="s">
        <v>76</v>
      </c>
      <c r="M72" s="10" t="s">
        <v>87</v>
      </c>
      <c r="N72" s="10" t="s">
        <v>285</v>
      </c>
    </row>
    <row r="73" customFormat="false" ht="15" hidden="false" customHeight="true" outlineLevel="0" collapsed="false">
      <c r="A73" s="10"/>
      <c r="B73" s="10"/>
      <c r="C73" s="10"/>
      <c r="D73" s="10"/>
      <c r="E73" s="10"/>
      <c r="F73" s="10" t="s">
        <v>157</v>
      </c>
      <c r="G73" s="22" t="s">
        <v>377</v>
      </c>
      <c r="H73" s="10"/>
      <c r="I73" s="10"/>
      <c r="J73" s="10"/>
      <c r="K73" s="10"/>
      <c r="L73" s="10"/>
      <c r="M73" s="10"/>
      <c r="N73" s="10"/>
    </row>
    <row r="74" customFormat="false" ht="15" hidden="false" customHeight="true" outlineLevel="0" collapsed="false">
      <c r="A74" s="10" t="s">
        <v>378</v>
      </c>
      <c r="B74" s="10" t="s">
        <v>379</v>
      </c>
      <c r="C74" s="10" t="s">
        <v>380</v>
      </c>
      <c r="D74" s="10" t="s">
        <v>381</v>
      </c>
      <c r="E74" s="10" t="s">
        <v>382</v>
      </c>
      <c r="F74" s="10" t="s">
        <v>152</v>
      </c>
      <c r="G74" s="22" t="s">
        <v>383</v>
      </c>
      <c r="H74" s="10" t="s">
        <v>375</v>
      </c>
      <c r="I74" s="10" t="s">
        <v>384</v>
      </c>
      <c r="J74" s="11"/>
      <c r="K74" s="10" t="s">
        <v>105</v>
      </c>
      <c r="L74" s="10" t="s">
        <v>76</v>
      </c>
      <c r="M74" s="10" t="s">
        <v>82</v>
      </c>
      <c r="N74" s="10" t="s">
        <v>285</v>
      </c>
    </row>
    <row r="75" customFormat="false" ht="15" hidden="false" customHeight="true" outlineLevel="0" collapsed="false">
      <c r="A75" s="10"/>
      <c r="B75" s="10"/>
      <c r="C75" s="10"/>
      <c r="D75" s="10"/>
      <c r="E75" s="10"/>
      <c r="F75" s="10" t="s">
        <v>157</v>
      </c>
      <c r="G75" s="22" t="s">
        <v>385</v>
      </c>
      <c r="H75" s="10"/>
      <c r="I75" s="10"/>
      <c r="J75" s="10"/>
      <c r="K75" s="10"/>
      <c r="L75" s="10"/>
      <c r="M75" s="10"/>
      <c r="N75" s="10"/>
    </row>
    <row r="76" customFormat="false" ht="15" hidden="false" customHeight="true" outlineLevel="0" collapsed="false">
      <c r="A76" s="10"/>
      <c r="B76" s="10"/>
      <c r="C76" s="10"/>
      <c r="D76" s="10"/>
      <c r="E76" s="10"/>
      <c r="F76" s="10" t="s">
        <v>159</v>
      </c>
      <c r="G76" s="22" t="s">
        <v>386</v>
      </c>
      <c r="H76" s="10"/>
      <c r="I76" s="10"/>
      <c r="J76" s="10"/>
      <c r="K76" s="10"/>
      <c r="L76" s="10"/>
      <c r="M76" s="10"/>
      <c r="N76" s="10"/>
    </row>
    <row r="77" customFormat="false" ht="15" hidden="false" customHeight="true" outlineLevel="0" collapsed="false">
      <c r="A77" s="10" t="s">
        <v>387</v>
      </c>
      <c r="B77" s="10" t="s">
        <v>388</v>
      </c>
      <c r="C77" s="10" t="s">
        <v>389</v>
      </c>
      <c r="D77" s="10" t="s">
        <v>390</v>
      </c>
      <c r="E77" s="10" t="s">
        <v>281</v>
      </c>
      <c r="F77" s="10" t="s">
        <v>152</v>
      </c>
      <c r="G77" s="22" t="s">
        <v>391</v>
      </c>
      <c r="H77" s="10" t="s">
        <v>392</v>
      </c>
      <c r="I77" s="10" t="s">
        <v>393</v>
      </c>
      <c r="J77" s="11"/>
      <c r="K77" s="10" t="s">
        <v>105</v>
      </c>
      <c r="L77" s="10" t="s">
        <v>76</v>
      </c>
      <c r="M77" s="10" t="s">
        <v>82</v>
      </c>
      <c r="N77" s="10" t="s">
        <v>285</v>
      </c>
    </row>
    <row r="78" customFormat="false" ht="15" hidden="false" customHeight="true" outlineLevel="0" collapsed="false">
      <c r="A78" s="10"/>
      <c r="B78" s="10"/>
      <c r="C78" s="10"/>
      <c r="D78" s="10"/>
      <c r="E78" s="10"/>
      <c r="F78" s="10" t="s">
        <v>157</v>
      </c>
      <c r="G78" s="22" t="s">
        <v>394</v>
      </c>
      <c r="H78" s="10"/>
      <c r="I78" s="10"/>
      <c r="J78" s="10"/>
      <c r="K78" s="10"/>
      <c r="L78" s="10"/>
      <c r="M78" s="10"/>
      <c r="N78" s="10"/>
    </row>
    <row r="79" customFormat="false" ht="15" hidden="false" customHeight="true" outlineLevel="0" collapsed="false">
      <c r="A79" s="10"/>
      <c r="B79" s="10"/>
      <c r="C79" s="10"/>
      <c r="D79" s="10"/>
      <c r="E79" s="10"/>
      <c r="F79" s="10" t="s">
        <v>159</v>
      </c>
      <c r="G79" s="22" t="s">
        <v>395</v>
      </c>
      <c r="H79" s="10"/>
      <c r="I79" s="10"/>
      <c r="J79" s="10"/>
      <c r="K79" s="10"/>
      <c r="L79" s="10"/>
      <c r="M79" s="10"/>
      <c r="N79" s="10"/>
    </row>
    <row r="80" customFormat="false" ht="15" hidden="false" customHeight="true" outlineLevel="0" collapsed="false">
      <c r="A80" s="10" t="s">
        <v>396</v>
      </c>
      <c r="B80" s="10" t="s">
        <v>397</v>
      </c>
      <c r="C80" s="10" t="s">
        <v>389</v>
      </c>
      <c r="D80" s="10" t="s">
        <v>398</v>
      </c>
      <c r="E80" s="10" t="s">
        <v>399</v>
      </c>
      <c r="F80" s="10" t="s">
        <v>152</v>
      </c>
      <c r="G80" s="22" t="s">
        <v>400</v>
      </c>
      <c r="H80" s="10" t="s">
        <v>401</v>
      </c>
      <c r="I80" s="10" t="s">
        <v>402</v>
      </c>
      <c r="J80" s="11"/>
      <c r="K80" s="10" t="s">
        <v>105</v>
      </c>
      <c r="L80" s="10" t="s">
        <v>76</v>
      </c>
      <c r="M80" s="10" t="s">
        <v>82</v>
      </c>
      <c r="N80" s="10" t="s">
        <v>285</v>
      </c>
    </row>
    <row r="81" customFormat="false" ht="15" hidden="false" customHeight="true" outlineLevel="0" collapsed="false">
      <c r="A81" s="10"/>
      <c r="B81" s="10"/>
      <c r="C81" s="10"/>
      <c r="D81" s="10"/>
      <c r="E81" s="10"/>
      <c r="F81" s="10" t="s">
        <v>157</v>
      </c>
      <c r="G81" s="22" t="s">
        <v>403</v>
      </c>
      <c r="H81" s="10"/>
      <c r="I81" s="10"/>
      <c r="J81" s="10"/>
      <c r="K81" s="10"/>
      <c r="L81" s="10"/>
      <c r="M81" s="10"/>
      <c r="N81" s="10"/>
    </row>
    <row r="82" customFormat="false" ht="15" hidden="false" customHeight="true" outlineLevel="0" collapsed="false">
      <c r="A82" s="10"/>
      <c r="B82" s="10"/>
      <c r="C82" s="10"/>
      <c r="D82" s="10"/>
      <c r="E82" s="10"/>
      <c r="F82" s="10" t="s">
        <v>159</v>
      </c>
      <c r="G82" s="22" t="s">
        <v>404</v>
      </c>
      <c r="H82" s="10"/>
      <c r="I82" s="10"/>
      <c r="J82" s="10"/>
      <c r="K82" s="10"/>
      <c r="L82" s="10"/>
      <c r="M82" s="10"/>
      <c r="N82" s="10"/>
    </row>
    <row r="83" customFormat="false" ht="15" hidden="false" customHeight="true" outlineLevel="0" collapsed="false">
      <c r="A83" s="10"/>
      <c r="B83" s="10"/>
      <c r="C83" s="10"/>
      <c r="D83" s="10"/>
      <c r="E83" s="10"/>
      <c r="F83" s="10" t="s">
        <v>171</v>
      </c>
      <c r="G83" s="22" t="s">
        <v>405</v>
      </c>
      <c r="H83" s="10"/>
      <c r="I83" s="10"/>
      <c r="J83" s="10"/>
      <c r="K83" s="10"/>
      <c r="L83" s="10"/>
      <c r="M83" s="10"/>
      <c r="N83" s="10"/>
    </row>
    <row r="84" customFormat="false" ht="15" hidden="false" customHeight="true" outlineLevel="0" collapsed="false">
      <c r="A84" s="10" t="s">
        <v>406</v>
      </c>
      <c r="B84" s="10" t="s">
        <v>407</v>
      </c>
      <c r="C84" s="10" t="s">
        <v>389</v>
      </c>
      <c r="D84" s="10" t="s">
        <v>408</v>
      </c>
      <c r="E84" s="10" t="s">
        <v>409</v>
      </c>
      <c r="F84" s="10" t="s">
        <v>152</v>
      </c>
      <c r="G84" s="22" t="s">
        <v>410</v>
      </c>
      <c r="H84" s="10" t="s">
        <v>411</v>
      </c>
      <c r="I84" s="10" t="s">
        <v>412</v>
      </c>
      <c r="J84" s="11"/>
      <c r="K84" s="10" t="s">
        <v>106</v>
      </c>
      <c r="L84" s="10" t="s">
        <v>76</v>
      </c>
      <c r="M84" s="10" t="s">
        <v>82</v>
      </c>
      <c r="N84" s="10" t="s">
        <v>285</v>
      </c>
    </row>
    <row r="85" customFormat="false" ht="15" hidden="false" customHeight="true" outlineLevel="0" collapsed="false">
      <c r="A85" s="10"/>
      <c r="B85" s="10"/>
      <c r="C85" s="10"/>
      <c r="D85" s="10"/>
      <c r="E85" s="10"/>
      <c r="F85" s="10" t="s">
        <v>157</v>
      </c>
      <c r="G85" s="22" t="s">
        <v>404</v>
      </c>
      <c r="H85" s="10"/>
      <c r="I85" s="10"/>
      <c r="J85" s="10"/>
      <c r="K85" s="10"/>
      <c r="L85" s="10"/>
      <c r="M85" s="10"/>
      <c r="N85" s="10"/>
    </row>
    <row r="86" customFormat="false" ht="15" hidden="false" customHeight="true" outlineLevel="0" collapsed="false">
      <c r="A86" s="10"/>
      <c r="B86" s="10"/>
      <c r="C86" s="10"/>
      <c r="D86" s="10"/>
      <c r="E86" s="10"/>
      <c r="F86" s="10" t="s">
        <v>159</v>
      </c>
      <c r="G86" s="22" t="s">
        <v>413</v>
      </c>
      <c r="H86" s="10"/>
      <c r="I86" s="10"/>
      <c r="J86" s="10"/>
      <c r="K86" s="10"/>
      <c r="L86" s="10"/>
      <c r="M86" s="10"/>
      <c r="N86" s="10"/>
    </row>
    <row r="87" customFormat="false" ht="15" hidden="false" customHeight="true" outlineLevel="0" collapsed="false">
      <c r="A87" s="10"/>
      <c r="B87" s="10"/>
      <c r="C87" s="10"/>
      <c r="D87" s="10"/>
      <c r="E87" s="10"/>
      <c r="F87" s="10" t="s">
        <v>171</v>
      </c>
      <c r="G87" s="22" t="s">
        <v>404</v>
      </c>
      <c r="H87" s="10"/>
      <c r="I87" s="10"/>
      <c r="J87" s="10"/>
      <c r="K87" s="10"/>
      <c r="L87" s="10"/>
      <c r="M87" s="10"/>
      <c r="N87" s="10"/>
    </row>
    <row r="88" customFormat="false" ht="15" hidden="false" customHeight="true" outlineLevel="0" collapsed="false">
      <c r="A88" s="10"/>
      <c r="B88" s="10"/>
      <c r="C88" s="10"/>
      <c r="D88" s="10"/>
      <c r="E88" s="10"/>
      <c r="F88" s="10" t="s">
        <v>256</v>
      </c>
      <c r="G88" s="22" t="s">
        <v>414</v>
      </c>
      <c r="H88" s="10"/>
      <c r="I88" s="10"/>
      <c r="J88" s="10"/>
      <c r="K88" s="10"/>
      <c r="L88" s="10"/>
      <c r="M88" s="10"/>
      <c r="N88" s="10"/>
    </row>
    <row r="89" customFormat="false" ht="15" hidden="false" customHeight="true" outlineLevel="0" collapsed="false">
      <c r="A89" s="10" t="s">
        <v>415</v>
      </c>
      <c r="B89" s="10" t="s">
        <v>416</v>
      </c>
      <c r="C89" s="10" t="s">
        <v>389</v>
      </c>
      <c r="D89" s="10" t="s">
        <v>417</v>
      </c>
      <c r="E89" s="10" t="s">
        <v>409</v>
      </c>
      <c r="F89" s="10" t="s">
        <v>152</v>
      </c>
      <c r="G89" s="22" t="s">
        <v>418</v>
      </c>
      <c r="H89" s="10" t="s">
        <v>409</v>
      </c>
      <c r="I89" s="10" t="s">
        <v>419</v>
      </c>
      <c r="J89" s="11"/>
      <c r="K89" s="10" t="s">
        <v>106</v>
      </c>
      <c r="L89" s="10" t="s">
        <v>76</v>
      </c>
      <c r="M89" s="10" t="s">
        <v>82</v>
      </c>
      <c r="N89" s="10" t="s">
        <v>285</v>
      </c>
    </row>
    <row r="90" customFormat="false" ht="15" hidden="false" customHeight="true" outlineLevel="0" collapsed="false">
      <c r="A90" s="10"/>
      <c r="B90" s="10"/>
      <c r="C90" s="10"/>
      <c r="D90" s="10"/>
      <c r="E90" s="10"/>
      <c r="F90" s="10" t="s">
        <v>157</v>
      </c>
      <c r="G90" s="22" t="s">
        <v>420</v>
      </c>
      <c r="H90" s="10"/>
      <c r="I90" s="10"/>
      <c r="J90" s="10"/>
      <c r="K90" s="10"/>
      <c r="L90" s="10"/>
      <c r="M90" s="10"/>
      <c r="N90" s="10"/>
    </row>
    <row r="91" customFormat="false" ht="15" hidden="false" customHeight="true" outlineLevel="0" collapsed="false">
      <c r="A91" s="10"/>
      <c r="B91" s="10"/>
      <c r="C91" s="10"/>
      <c r="D91" s="10"/>
      <c r="E91" s="10"/>
      <c r="F91" s="10" t="s">
        <v>159</v>
      </c>
      <c r="G91" s="22" t="s">
        <v>421</v>
      </c>
      <c r="H91" s="10"/>
      <c r="I91" s="10"/>
      <c r="J91" s="10"/>
      <c r="K91" s="10"/>
      <c r="L91" s="10"/>
      <c r="M91" s="10"/>
      <c r="N91" s="10"/>
    </row>
    <row r="92" customFormat="false" ht="34.5" hidden="false" customHeight="true" outlineLevel="0" collapsed="false">
      <c r="A92" s="10" t="s">
        <v>422</v>
      </c>
      <c r="B92" s="10" t="s">
        <v>423</v>
      </c>
      <c r="C92" s="10" t="s">
        <v>424</v>
      </c>
      <c r="D92" s="10" t="s">
        <v>425</v>
      </c>
      <c r="E92" s="10" t="s">
        <v>281</v>
      </c>
      <c r="F92" s="10" t="s">
        <v>152</v>
      </c>
      <c r="G92" s="22" t="s">
        <v>426</v>
      </c>
      <c r="H92" s="10" t="s">
        <v>427</v>
      </c>
      <c r="I92" s="10" t="s">
        <v>428</v>
      </c>
      <c r="J92" s="27"/>
      <c r="K92" s="10" t="s">
        <v>105</v>
      </c>
      <c r="L92" s="10" t="s">
        <v>76</v>
      </c>
      <c r="M92" s="10" t="s">
        <v>82</v>
      </c>
      <c r="N92" s="10" t="s">
        <v>285</v>
      </c>
    </row>
    <row r="93" customFormat="false" ht="30" hidden="false" customHeight="true" outlineLevel="0" collapsed="false">
      <c r="A93" s="10"/>
      <c r="B93" s="10"/>
      <c r="C93" s="10"/>
      <c r="D93" s="10"/>
      <c r="E93" s="10"/>
      <c r="F93" s="10" t="s">
        <v>157</v>
      </c>
      <c r="G93" s="22" t="s">
        <v>429</v>
      </c>
      <c r="H93" s="10"/>
      <c r="I93" s="10"/>
      <c r="J93" s="28"/>
      <c r="K93" s="10"/>
      <c r="L93" s="10"/>
      <c r="M93" s="10"/>
      <c r="N93" s="10"/>
    </row>
    <row r="94" customFormat="false" ht="75" hidden="false" customHeight="true" outlineLevel="0" collapsed="false">
      <c r="A94" s="10"/>
      <c r="B94" s="10"/>
      <c r="C94" s="10"/>
      <c r="D94" s="10"/>
      <c r="E94" s="10"/>
      <c r="F94" s="10" t="s">
        <v>159</v>
      </c>
      <c r="G94" s="22" t="s">
        <v>430</v>
      </c>
      <c r="H94" s="10"/>
      <c r="I94" s="10"/>
      <c r="J94" s="28"/>
      <c r="K94" s="10"/>
      <c r="L94" s="10"/>
      <c r="M94" s="10"/>
      <c r="N94" s="10"/>
    </row>
    <row r="95" customFormat="false" ht="30" hidden="false" customHeight="true" outlineLevel="0" collapsed="false">
      <c r="A95" s="10"/>
      <c r="B95" s="10"/>
      <c r="C95" s="10"/>
      <c r="D95" s="10"/>
      <c r="E95" s="10"/>
      <c r="F95" s="10" t="s">
        <v>171</v>
      </c>
      <c r="G95" s="22" t="s">
        <v>431</v>
      </c>
      <c r="H95" s="10"/>
      <c r="I95" s="10"/>
      <c r="J95" s="29"/>
      <c r="K95" s="10"/>
      <c r="L95" s="10"/>
      <c r="M95" s="10"/>
      <c r="N95" s="10"/>
    </row>
    <row r="96" customFormat="false" ht="63" hidden="false" customHeight="true" outlineLevel="0" collapsed="false">
      <c r="A96" s="10"/>
      <c r="B96" s="10"/>
      <c r="C96" s="10"/>
      <c r="D96" s="10"/>
      <c r="E96" s="10"/>
      <c r="F96" s="10" t="s">
        <v>256</v>
      </c>
      <c r="G96" s="22" t="s">
        <v>432</v>
      </c>
      <c r="H96" s="10"/>
      <c r="I96" s="10"/>
      <c r="J96" s="28"/>
      <c r="K96" s="10"/>
      <c r="L96" s="10"/>
      <c r="M96" s="10"/>
      <c r="N96" s="10"/>
    </row>
    <row r="97" customFormat="false" ht="123.75" hidden="false" customHeight="true" outlineLevel="0" collapsed="false">
      <c r="A97" s="10"/>
      <c r="B97" s="10"/>
      <c r="C97" s="10"/>
      <c r="D97" s="10"/>
      <c r="E97" s="10"/>
      <c r="F97" s="10" t="s">
        <v>433</v>
      </c>
      <c r="G97" s="22" t="s">
        <v>434</v>
      </c>
      <c r="H97" s="10"/>
      <c r="I97" s="10"/>
      <c r="J97" s="30"/>
      <c r="K97" s="10"/>
      <c r="L97" s="10"/>
      <c r="M97" s="10"/>
      <c r="N97" s="10"/>
    </row>
    <row r="98" customFormat="false" ht="15" hidden="false" customHeight="true" outlineLevel="0" collapsed="false">
      <c r="A98" s="10" t="s">
        <v>435</v>
      </c>
      <c r="B98" s="10" t="s">
        <v>436</v>
      </c>
      <c r="C98" s="10" t="s">
        <v>437</v>
      </c>
      <c r="D98" s="10" t="s">
        <v>438</v>
      </c>
      <c r="E98" s="10" t="s">
        <v>281</v>
      </c>
      <c r="F98" s="10" t="s">
        <v>152</v>
      </c>
      <c r="G98" s="22" t="s">
        <v>439</v>
      </c>
      <c r="H98" s="10" t="s">
        <v>328</v>
      </c>
      <c r="I98" s="10" t="s">
        <v>440</v>
      </c>
      <c r="J98" s="10"/>
      <c r="K98" s="10" t="s">
        <v>107</v>
      </c>
      <c r="L98" s="10" t="s">
        <v>76</v>
      </c>
      <c r="M98" s="10" t="s">
        <v>82</v>
      </c>
      <c r="N98" s="10" t="s">
        <v>285</v>
      </c>
    </row>
    <row r="99" customFormat="false" ht="15" hidden="false" customHeight="true" outlineLevel="0" collapsed="false">
      <c r="A99" s="10"/>
      <c r="B99" s="10"/>
      <c r="C99" s="10"/>
      <c r="D99" s="10"/>
      <c r="E99" s="10"/>
      <c r="F99" s="10" t="s">
        <v>157</v>
      </c>
      <c r="G99" s="22" t="s">
        <v>441</v>
      </c>
      <c r="H99" s="10"/>
      <c r="I99" s="10"/>
      <c r="J99" s="10"/>
      <c r="K99" s="10"/>
      <c r="L99" s="10"/>
      <c r="M99" s="10"/>
      <c r="N99" s="10"/>
    </row>
    <row r="100" customFormat="false" ht="15" hidden="false" customHeight="true" outlineLevel="0" collapsed="false">
      <c r="A100" s="10" t="s">
        <v>442</v>
      </c>
      <c r="B100" s="10" t="s">
        <v>443</v>
      </c>
      <c r="C100" s="10" t="s">
        <v>444</v>
      </c>
      <c r="D100" s="10" t="s">
        <v>445</v>
      </c>
      <c r="E100" s="10" t="s">
        <v>446</v>
      </c>
      <c r="F100" s="10" t="s">
        <v>152</v>
      </c>
      <c r="G100" s="22" t="s">
        <v>447</v>
      </c>
      <c r="H100" s="10" t="s">
        <v>448</v>
      </c>
      <c r="I100" s="10" t="s">
        <v>449</v>
      </c>
      <c r="J100" s="10"/>
      <c r="K100" s="10" t="s">
        <v>105</v>
      </c>
      <c r="L100" s="10" t="s">
        <v>78</v>
      </c>
      <c r="M100" s="10" t="s">
        <v>84</v>
      </c>
      <c r="N100" s="10" t="s">
        <v>450</v>
      </c>
    </row>
    <row r="101" customFormat="false" ht="30" hidden="false" customHeight="true" outlineLevel="0" collapsed="false">
      <c r="A101" s="10"/>
      <c r="B101" s="10"/>
      <c r="C101" s="10"/>
      <c r="D101" s="10"/>
      <c r="E101" s="10"/>
      <c r="F101" s="10" t="s">
        <v>157</v>
      </c>
      <c r="G101" s="22" t="s">
        <v>451</v>
      </c>
      <c r="H101" s="10"/>
      <c r="I101" s="10"/>
      <c r="J101" s="10"/>
      <c r="K101" s="10"/>
      <c r="L101" s="10"/>
      <c r="M101" s="10"/>
      <c r="N101" s="10"/>
    </row>
    <row r="102" customFormat="false" ht="15" hidden="false" customHeight="true" outlineLevel="0" collapsed="false">
      <c r="A102" s="10" t="s">
        <v>452</v>
      </c>
      <c r="B102" s="10" t="s">
        <v>453</v>
      </c>
      <c r="C102" s="10" t="s">
        <v>454</v>
      </c>
      <c r="D102" s="10" t="s">
        <v>455</v>
      </c>
      <c r="E102" s="10" t="s">
        <v>456</v>
      </c>
      <c r="F102" s="10" t="s">
        <v>152</v>
      </c>
      <c r="G102" s="22" t="s">
        <v>447</v>
      </c>
      <c r="H102" s="10" t="s">
        <v>457</v>
      </c>
      <c r="I102" s="10" t="s">
        <v>458</v>
      </c>
      <c r="J102" s="10"/>
      <c r="K102" s="10" t="s">
        <v>105</v>
      </c>
      <c r="L102" s="10" t="s">
        <v>76</v>
      </c>
      <c r="M102" s="10" t="s">
        <v>84</v>
      </c>
      <c r="N102" s="10" t="s">
        <v>450</v>
      </c>
    </row>
    <row r="103" customFormat="false" ht="30" hidden="false" customHeight="true" outlineLevel="0" collapsed="false">
      <c r="A103" s="10"/>
      <c r="B103" s="10"/>
      <c r="C103" s="10"/>
      <c r="D103" s="10"/>
      <c r="E103" s="10"/>
      <c r="F103" s="10" t="s">
        <v>157</v>
      </c>
      <c r="G103" s="22" t="s">
        <v>451</v>
      </c>
      <c r="H103" s="10"/>
      <c r="I103" s="10"/>
      <c r="J103" s="10"/>
      <c r="K103" s="10"/>
      <c r="L103" s="10"/>
      <c r="M103" s="10"/>
      <c r="N103" s="10"/>
    </row>
    <row r="104" customFormat="false" ht="15" hidden="false" customHeight="true" outlineLevel="0" collapsed="false">
      <c r="A104" s="10" t="s">
        <v>459</v>
      </c>
      <c r="B104" s="10" t="s">
        <v>460</v>
      </c>
      <c r="C104" s="10" t="s">
        <v>461</v>
      </c>
      <c r="D104" s="10" t="s">
        <v>462</v>
      </c>
      <c r="E104" s="10" t="s">
        <v>285</v>
      </c>
      <c r="F104" s="10" t="s">
        <v>152</v>
      </c>
      <c r="G104" s="22" t="s">
        <v>447</v>
      </c>
      <c r="H104" s="10" t="s">
        <v>463</v>
      </c>
      <c r="I104" s="10" t="s">
        <v>464</v>
      </c>
      <c r="J104" s="10"/>
      <c r="K104" s="10" t="s">
        <v>105</v>
      </c>
      <c r="L104" s="10" t="s">
        <v>76</v>
      </c>
      <c r="M104" s="10" t="s">
        <v>84</v>
      </c>
      <c r="N104" s="10" t="s">
        <v>285</v>
      </c>
    </row>
    <row r="105" customFormat="false" ht="15" hidden="false" customHeight="true" outlineLevel="0" collapsed="false">
      <c r="A105" s="10"/>
      <c r="B105" s="10"/>
      <c r="C105" s="10"/>
      <c r="D105" s="10"/>
      <c r="E105" s="10"/>
      <c r="F105" s="10" t="s">
        <v>157</v>
      </c>
      <c r="G105" s="22" t="s">
        <v>465</v>
      </c>
      <c r="H105" s="10"/>
      <c r="I105" s="10"/>
      <c r="J105" s="10"/>
      <c r="K105" s="10"/>
      <c r="L105" s="10"/>
      <c r="M105" s="10"/>
      <c r="N105" s="10"/>
    </row>
    <row r="106" customFormat="false" ht="15" hidden="false" customHeight="true" outlineLevel="0" collapsed="false">
      <c r="A106" s="10"/>
      <c r="B106" s="10"/>
      <c r="C106" s="10"/>
      <c r="D106" s="10"/>
      <c r="E106" s="10"/>
      <c r="F106" s="10" t="s">
        <v>159</v>
      </c>
      <c r="G106" s="22" t="s">
        <v>466</v>
      </c>
      <c r="H106" s="10"/>
      <c r="I106" s="10"/>
      <c r="J106" s="10"/>
      <c r="K106" s="10"/>
      <c r="L106" s="10"/>
      <c r="M106" s="10"/>
      <c r="N106" s="10"/>
    </row>
    <row r="107" customFormat="false" ht="30" hidden="false" customHeight="true" outlineLevel="0" collapsed="false">
      <c r="A107" s="10" t="s">
        <v>467</v>
      </c>
      <c r="B107" s="10" t="s">
        <v>468</v>
      </c>
      <c r="C107" s="10" t="s">
        <v>469</v>
      </c>
      <c r="D107" s="10" t="s">
        <v>470</v>
      </c>
      <c r="E107" s="10" t="s">
        <v>471</v>
      </c>
      <c r="F107" s="10" t="s">
        <v>152</v>
      </c>
      <c r="G107" s="22" t="s">
        <v>447</v>
      </c>
      <c r="H107" s="10" t="s">
        <v>472</v>
      </c>
      <c r="I107" s="10" t="s">
        <v>473</v>
      </c>
      <c r="J107" s="10"/>
      <c r="K107" s="10" t="s">
        <v>107</v>
      </c>
      <c r="L107" s="10" t="s">
        <v>328</v>
      </c>
      <c r="M107" s="10" t="s">
        <v>84</v>
      </c>
      <c r="N107" s="10" t="s">
        <v>285</v>
      </c>
    </row>
    <row r="108" customFormat="false" ht="15" hidden="false" customHeight="true" outlineLevel="0" collapsed="false">
      <c r="A108" s="10" t="s">
        <v>474</v>
      </c>
      <c r="B108" s="10" t="s">
        <v>475</v>
      </c>
      <c r="C108" s="10" t="s">
        <v>149</v>
      </c>
      <c r="D108" s="10" t="s">
        <v>476</v>
      </c>
      <c r="E108" s="10" t="s">
        <v>477</v>
      </c>
      <c r="F108" s="10" t="s">
        <v>152</v>
      </c>
      <c r="G108" s="22" t="s">
        <v>478</v>
      </c>
      <c r="H108" s="10" t="s">
        <v>149</v>
      </c>
      <c r="I108" s="10" t="s">
        <v>479</v>
      </c>
      <c r="J108" s="11"/>
      <c r="K108" s="10" t="s">
        <v>105</v>
      </c>
      <c r="L108" s="10" t="s">
        <v>76</v>
      </c>
      <c r="M108" s="10" t="s">
        <v>91</v>
      </c>
      <c r="N108" s="10" t="s">
        <v>156</v>
      </c>
    </row>
    <row r="109" customFormat="false" ht="15" hidden="false" customHeight="true" outlineLevel="0" collapsed="false">
      <c r="A109" s="10"/>
      <c r="B109" s="10"/>
      <c r="C109" s="10"/>
      <c r="D109" s="10"/>
      <c r="E109" s="10"/>
      <c r="F109" s="10" t="s">
        <v>157</v>
      </c>
      <c r="G109" s="22" t="s">
        <v>480</v>
      </c>
      <c r="H109" s="10"/>
      <c r="I109" s="10"/>
      <c r="J109" s="10"/>
      <c r="K109" s="10"/>
      <c r="L109" s="10"/>
      <c r="M109" s="10"/>
      <c r="N109" s="10"/>
    </row>
    <row r="110" customFormat="false" ht="15" hidden="false" customHeight="true" outlineLevel="0" collapsed="false">
      <c r="A110" s="10"/>
      <c r="B110" s="10"/>
      <c r="C110" s="10"/>
      <c r="D110" s="10"/>
      <c r="E110" s="10"/>
      <c r="F110" s="10" t="s">
        <v>159</v>
      </c>
      <c r="G110" s="22" t="s">
        <v>481</v>
      </c>
      <c r="H110" s="10"/>
      <c r="I110" s="10"/>
      <c r="J110" s="10"/>
      <c r="K110" s="10"/>
      <c r="L110" s="10"/>
      <c r="M110" s="10"/>
      <c r="N110" s="10"/>
    </row>
    <row r="111" customFormat="false" ht="15" hidden="false" customHeight="true" outlineLevel="0" collapsed="false">
      <c r="A111" s="10"/>
      <c r="B111" s="10"/>
      <c r="C111" s="10"/>
      <c r="D111" s="10"/>
      <c r="E111" s="10"/>
      <c r="F111" s="10" t="s">
        <v>171</v>
      </c>
      <c r="G111" s="22" t="s">
        <v>482</v>
      </c>
      <c r="H111" s="10"/>
      <c r="I111" s="10"/>
      <c r="J111" s="10"/>
      <c r="K111" s="10"/>
      <c r="L111" s="10"/>
      <c r="M111" s="10"/>
      <c r="N111" s="10"/>
    </row>
    <row r="112" customFormat="false" ht="15" hidden="false" customHeight="true" outlineLevel="0" collapsed="false">
      <c r="A112" s="10" t="s">
        <v>483</v>
      </c>
      <c r="B112" s="10" t="s">
        <v>475</v>
      </c>
      <c r="C112" s="10" t="s">
        <v>85</v>
      </c>
      <c r="D112" s="10" t="s">
        <v>484</v>
      </c>
      <c r="E112" s="10" t="s">
        <v>485</v>
      </c>
      <c r="F112" s="10" t="s">
        <v>152</v>
      </c>
      <c r="G112" s="22" t="s">
        <v>486</v>
      </c>
      <c r="H112" s="10" t="s">
        <v>487</v>
      </c>
      <c r="I112" s="10" t="s">
        <v>488</v>
      </c>
      <c r="J112" s="10"/>
      <c r="K112" s="10" t="s">
        <v>106</v>
      </c>
      <c r="L112" s="10" t="s">
        <v>76</v>
      </c>
      <c r="M112" s="10" t="s">
        <v>85</v>
      </c>
      <c r="N112" s="10" t="s">
        <v>156</v>
      </c>
    </row>
    <row r="113" customFormat="false" ht="30" hidden="false" customHeight="true" outlineLevel="0" collapsed="false">
      <c r="A113" s="10"/>
      <c r="B113" s="10"/>
      <c r="C113" s="10"/>
      <c r="D113" s="10"/>
      <c r="E113" s="10"/>
      <c r="F113" s="10" t="s">
        <v>157</v>
      </c>
      <c r="G113" s="22" t="s">
        <v>489</v>
      </c>
      <c r="H113" s="10"/>
      <c r="I113" s="10"/>
      <c r="J113" s="10"/>
      <c r="K113" s="10"/>
      <c r="L113" s="10"/>
      <c r="M113" s="10"/>
      <c r="N113" s="10"/>
    </row>
    <row r="114" customFormat="false" ht="30" hidden="false" customHeight="true" outlineLevel="0" collapsed="false">
      <c r="A114" s="10"/>
      <c r="B114" s="10"/>
      <c r="C114" s="10"/>
      <c r="D114" s="10"/>
      <c r="E114" s="10"/>
      <c r="F114" s="10" t="s">
        <v>159</v>
      </c>
      <c r="G114" s="22" t="s">
        <v>490</v>
      </c>
      <c r="H114" s="10"/>
      <c r="I114" s="10"/>
      <c r="J114" s="10"/>
      <c r="K114" s="10"/>
      <c r="L114" s="10"/>
      <c r="M114" s="10"/>
      <c r="N114" s="10"/>
    </row>
    <row r="115" customFormat="false" ht="15" hidden="false" customHeight="true" outlineLevel="0" collapsed="false">
      <c r="A115" s="10"/>
      <c r="B115" s="10"/>
      <c r="C115" s="10"/>
      <c r="D115" s="10"/>
      <c r="E115" s="10"/>
      <c r="F115" s="10" t="s">
        <v>171</v>
      </c>
      <c r="G115" s="22" t="s">
        <v>491</v>
      </c>
      <c r="H115" s="10"/>
      <c r="I115" s="10"/>
      <c r="J115" s="10"/>
      <c r="K115" s="10"/>
      <c r="L115" s="10"/>
      <c r="M115" s="10"/>
      <c r="N115" s="10"/>
    </row>
    <row r="116" customFormat="false" ht="27.75" hidden="false" customHeight="true" outlineLevel="0" collapsed="false">
      <c r="A116" s="10" t="s">
        <v>492</v>
      </c>
      <c r="B116" s="10" t="s">
        <v>475</v>
      </c>
      <c r="C116" s="10" t="s">
        <v>93</v>
      </c>
      <c r="D116" s="10" t="s">
        <v>493</v>
      </c>
      <c r="E116" s="10" t="s">
        <v>285</v>
      </c>
      <c r="F116" s="10" t="s">
        <v>152</v>
      </c>
      <c r="G116" s="22" t="s">
        <v>494</v>
      </c>
      <c r="H116" s="10" t="s">
        <v>495</v>
      </c>
      <c r="I116" s="10" t="s">
        <v>496</v>
      </c>
      <c r="J116" s="10"/>
      <c r="K116" s="10" t="s">
        <v>105</v>
      </c>
      <c r="L116" s="10" t="s">
        <v>76</v>
      </c>
      <c r="M116" s="10" t="s">
        <v>93</v>
      </c>
      <c r="N116" s="10" t="s">
        <v>285</v>
      </c>
    </row>
    <row r="117" customFormat="false" ht="30" hidden="false" customHeight="true" outlineLevel="0" collapsed="false">
      <c r="A117" s="10"/>
      <c r="B117" s="10"/>
      <c r="C117" s="10"/>
      <c r="D117" s="10"/>
      <c r="E117" s="10"/>
      <c r="F117" s="10" t="s">
        <v>157</v>
      </c>
      <c r="G117" s="22" t="s">
        <v>497</v>
      </c>
      <c r="H117" s="10"/>
      <c r="I117" s="10"/>
      <c r="J117" s="10"/>
      <c r="K117" s="10"/>
      <c r="L117" s="10"/>
      <c r="M117" s="10"/>
      <c r="N117" s="10"/>
    </row>
    <row r="118" customFormat="false" ht="15" hidden="false" customHeight="true" outlineLevel="0" collapsed="false">
      <c r="A118" s="10"/>
      <c r="B118" s="10"/>
      <c r="C118" s="10"/>
      <c r="D118" s="10"/>
      <c r="E118" s="10"/>
      <c r="F118" s="10" t="s">
        <v>159</v>
      </c>
      <c r="G118" s="22" t="s">
        <v>498</v>
      </c>
      <c r="H118" s="10"/>
      <c r="I118" s="10"/>
      <c r="J118" s="10"/>
      <c r="K118" s="10"/>
      <c r="L118" s="10"/>
      <c r="M118" s="10"/>
      <c r="N118" s="10"/>
    </row>
    <row r="119" customFormat="false" ht="30" hidden="false" customHeight="true" outlineLevel="0" collapsed="false">
      <c r="A119" s="10"/>
      <c r="B119" s="10"/>
      <c r="C119" s="10"/>
      <c r="D119" s="10"/>
      <c r="E119" s="10"/>
      <c r="F119" s="10" t="s">
        <v>171</v>
      </c>
      <c r="G119" s="22" t="s">
        <v>499</v>
      </c>
      <c r="H119" s="10"/>
      <c r="I119" s="10"/>
      <c r="J119" s="10"/>
      <c r="K119" s="10"/>
      <c r="L119" s="10"/>
      <c r="M119" s="10"/>
      <c r="N119" s="10"/>
    </row>
    <row r="120" customFormat="false" ht="15" hidden="false" customHeight="true" outlineLevel="0" collapsed="false">
      <c r="A120" s="10" t="s">
        <v>500</v>
      </c>
      <c r="B120" s="10" t="s">
        <v>475</v>
      </c>
      <c r="C120" s="10" t="s">
        <v>93</v>
      </c>
      <c r="D120" s="10" t="s">
        <v>501</v>
      </c>
      <c r="E120" s="10" t="s">
        <v>450</v>
      </c>
      <c r="F120" s="10" t="s">
        <v>152</v>
      </c>
      <c r="G120" s="22" t="s">
        <v>502</v>
      </c>
      <c r="H120" s="10" t="s">
        <v>503</v>
      </c>
      <c r="I120" s="10" t="s">
        <v>504</v>
      </c>
      <c r="J120" s="10"/>
      <c r="K120" s="10" t="s">
        <v>105</v>
      </c>
      <c r="L120" s="10" t="s">
        <v>76</v>
      </c>
      <c r="M120" s="10" t="s">
        <v>93</v>
      </c>
      <c r="N120" s="10" t="s">
        <v>450</v>
      </c>
    </row>
    <row r="121" customFormat="false" ht="15" hidden="false" customHeight="true" outlineLevel="0" collapsed="false">
      <c r="A121" s="10"/>
      <c r="B121" s="10"/>
      <c r="C121" s="10"/>
      <c r="D121" s="10"/>
      <c r="E121" s="10"/>
      <c r="F121" s="10" t="s">
        <v>157</v>
      </c>
      <c r="G121" s="22" t="s">
        <v>505</v>
      </c>
      <c r="H121" s="10"/>
      <c r="I121" s="10"/>
      <c r="J121" s="10"/>
      <c r="K121" s="10"/>
      <c r="L121" s="10"/>
      <c r="M121" s="10"/>
      <c r="N121" s="10"/>
    </row>
    <row r="122" customFormat="false" ht="15" hidden="false" customHeight="true" outlineLevel="0" collapsed="false">
      <c r="A122" s="10"/>
      <c r="B122" s="10"/>
      <c r="C122" s="10"/>
      <c r="D122" s="10"/>
      <c r="E122" s="10"/>
      <c r="F122" s="10" t="s">
        <v>159</v>
      </c>
      <c r="G122" s="22" t="s">
        <v>506</v>
      </c>
      <c r="H122" s="10"/>
      <c r="I122" s="10"/>
      <c r="J122" s="10"/>
      <c r="K122" s="10"/>
      <c r="L122" s="10"/>
      <c r="M122" s="10"/>
      <c r="N122" s="10"/>
    </row>
    <row r="123" customFormat="false" ht="68.25" hidden="false" customHeight="true" outlineLevel="0" collapsed="false">
      <c r="A123" s="10" t="s">
        <v>507</v>
      </c>
      <c r="B123" s="10" t="s">
        <v>475</v>
      </c>
      <c r="C123" s="10" t="s">
        <v>93</v>
      </c>
      <c r="D123" s="10" t="s">
        <v>508</v>
      </c>
      <c r="E123" s="10" t="s">
        <v>335</v>
      </c>
      <c r="F123" s="10" t="s">
        <v>152</v>
      </c>
      <c r="G123" s="22" t="s">
        <v>509</v>
      </c>
      <c r="H123" s="10" t="s">
        <v>510</v>
      </c>
      <c r="I123" s="10" t="s">
        <v>511</v>
      </c>
      <c r="J123" s="10"/>
      <c r="K123" s="10" t="s">
        <v>106</v>
      </c>
      <c r="L123" s="10" t="s">
        <v>76</v>
      </c>
      <c r="M123" s="10" t="s">
        <v>93</v>
      </c>
      <c r="N123" s="10" t="s">
        <v>156</v>
      </c>
    </row>
    <row r="124" customFormat="false" ht="15" hidden="false" customHeight="true" outlineLevel="0" collapsed="false">
      <c r="A124" s="10"/>
      <c r="B124" s="10"/>
      <c r="C124" s="10"/>
      <c r="D124" s="10"/>
      <c r="E124" s="10"/>
      <c r="F124" s="10" t="s">
        <v>157</v>
      </c>
      <c r="G124" s="22" t="s">
        <v>512</v>
      </c>
      <c r="H124" s="10"/>
      <c r="I124" s="10"/>
      <c r="J124" s="10"/>
      <c r="K124" s="10"/>
      <c r="L124" s="10"/>
      <c r="M124" s="10"/>
      <c r="N124" s="10"/>
    </row>
    <row r="125" customFormat="false" ht="15" hidden="false" customHeight="true" outlineLevel="0" collapsed="false">
      <c r="A125" s="10"/>
      <c r="B125" s="10"/>
      <c r="C125" s="10"/>
      <c r="D125" s="10"/>
      <c r="E125" s="10"/>
      <c r="F125" s="10" t="s">
        <v>159</v>
      </c>
      <c r="G125" s="22" t="s">
        <v>513</v>
      </c>
      <c r="H125" s="10"/>
      <c r="I125" s="10"/>
      <c r="J125" s="10"/>
      <c r="K125" s="10"/>
      <c r="L125" s="10"/>
      <c r="M125" s="10"/>
      <c r="N125" s="10"/>
    </row>
    <row r="126" customFormat="false" ht="15" hidden="false" customHeight="true" outlineLevel="0" collapsed="false">
      <c r="A126" s="10" t="s">
        <v>514</v>
      </c>
      <c r="B126" s="10" t="s">
        <v>475</v>
      </c>
      <c r="C126" s="10" t="s">
        <v>93</v>
      </c>
      <c r="D126" s="10" t="s">
        <v>515</v>
      </c>
      <c r="E126" s="10" t="s">
        <v>326</v>
      </c>
      <c r="F126" s="10" t="s">
        <v>152</v>
      </c>
      <c r="G126" s="22" t="s">
        <v>516</v>
      </c>
      <c r="H126" s="10" t="s">
        <v>517</v>
      </c>
      <c r="I126" s="10" t="s">
        <v>518</v>
      </c>
      <c r="J126" s="10"/>
      <c r="K126" s="10" t="s">
        <v>106</v>
      </c>
      <c r="L126" s="10" t="s">
        <v>77</v>
      </c>
      <c r="M126" s="10" t="s">
        <v>89</v>
      </c>
      <c r="N126" s="10" t="s">
        <v>156</v>
      </c>
    </row>
    <row r="127" customFormat="false" ht="15" hidden="false" customHeight="true" outlineLevel="0" collapsed="false">
      <c r="A127" s="10"/>
      <c r="B127" s="10"/>
      <c r="C127" s="10"/>
      <c r="D127" s="10"/>
      <c r="E127" s="10"/>
      <c r="F127" s="10" t="s">
        <v>157</v>
      </c>
      <c r="G127" s="22" t="s">
        <v>519</v>
      </c>
      <c r="H127" s="10"/>
      <c r="I127" s="10"/>
      <c r="J127" s="10"/>
      <c r="K127" s="10"/>
      <c r="L127" s="10"/>
      <c r="M127" s="10"/>
      <c r="N127" s="10"/>
    </row>
    <row r="128" customFormat="false" ht="15" hidden="false" customHeight="true" outlineLevel="0" collapsed="false">
      <c r="A128" s="10"/>
      <c r="B128" s="10"/>
      <c r="C128" s="10"/>
      <c r="D128" s="10"/>
      <c r="E128" s="10"/>
      <c r="F128" s="10" t="s">
        <v>159</v>
      </c>
      <c r="G128" s="22" t="s">
        <v>520</v>
      </c>
      <c r="H128" s="10"/>
      <c r="I128" s="10"/>
      <c r="J128" s="10"/>
      <c r="K128" s="10"/>
      <c r="L128" s="10"/>
      <c r="M128" s="10"/>
      <c r="N128" s="10"/>
    </row>
    <row r="129" customFormat="false" ht="15" hidden="false" customHeight="true" outlineLevel="0" collapsed="false">
      <c r="A129" s="10" t="s">
        <v>521</v>
      </c>
      <c r="B129" s="10" t="s">
        <v>475</v>
      </c>
      <c r="C129" s="10" t="s">
        <v>93</v>
      </c>
      <c r="D129" s="10" t="s">
        <v>522</v>
      </c>
      <c r="E129" s="10" t="s">
        <v>523</v>
      </c>
      <c r="F129" s="10" t="s">
        <v>152</v>
      </c>
      <c r="G129" s="22" t="s">
        <v>524</v>
      </c>
      <c r="H129" s="10" t="s">
        <v>525</v>
      </c>
      <c r="I129" s="10" t="s">
        <v>526</v>
      </c>
      <c r="J129" s="10"/>
      <c r="K129" s="10" t="s">
        <v>106</v>
      </c>
      <c r="L129" s="10" t="s">
        <v>76</v>
      </c>
      <c r="M129" s="10" t="s">
        <v>99</v>
      </c>
      <c r="N129" s="10" t="s">
        <v>156</v>
      </c>
    </row>
    <row r="130" customFormat="false" ht="15" hidden="false" customHeight="true" outlineLevel="0" collapsed="false">
      <c r="A130" s="10"/>
      <c r="B130" s="10"/>
      <c r="C130" s="10"/>
      <c r="D130" s="10"/>
      <c r="E130" s="10"/>
      <c r="F130" s="10" t="s">
        <v>157</v>
      </c>
      <c r="G130" s="22" t="s">
        <v>527</v>
      </c>
      <c r="H130" s="10"/>
      <c r="I130" s="10"/>
      <c r="J130" s="10"/>
      <c r="K130" s="10"/>
      <c r="L130" s="10"/>
      <c r="M130" s="10"/>
      <c r="N130" s="10"/>
    </row>
    <row r="131" customFormat="false" ht="15" hidden="false" customHeight="true" outlineLevel="0" collapsed="false">
      <c r="A131" s="10"/>
      <c r="B131" s="10"/>
      <c r="C131" s="10"/>
      <c r="D131" s="10"/>
      <c r="E131" s="10"/>
      <c r="F131" s="10" t="s">
        <v>159</v>
      </c>
      <c r="G131" s="22" t="s">
        <v>528</v>
      </c>
      <c r="H131" s="10"/>
      <c r="I131" s="10"/>
      <c r="J131" s="10"/>
      <c r="K131" s="10"/>
      <c r="L131" s="10"/>
      <c r="M131" s="10"/>
      <c r="N131" s="10"/>
    </row>
    <row r="132" customFormat="false" ht="15" hidden="false" customHeight="true" outlineLevel="0" collapsed="false">
      <c r="A132" s="10" t="s">
        <v>529</v>
      </c>
      <c r="B132" s="10" t="s">
        <v>475</v>
      </c>
      <c r="C132" s="10" t="s">
        <v>163</v>
      </c>
      <c r="D132" s="10" t="s">
        <v>530</v>
      </c>
      <c r="E132" s="10" t="s">
        <v>163</v>
      </c>
      <c r="F132" s="10" t="s">
        <v>152</v>
      </c>
      <c r="G132" s="22" t="s">
        <v>531</v>
      </c>
      <c r="H132" s="10" t="s">
        <v>532</v>
      </c>
      <c r="I132" s="10" t="s">
        <v>533</v>
      </c>
      <c r="J132" s="11"/>
      <c r="K132" s="10" t="s">
        <v>106</v>
      </c>
      <c r="L132" s="10" t="s">
        <v>76</v>
      </c>
      <c r="M132" s="10" t="s">
        <v>94</v>
      </c>
      <c r="N132" s="10" t="s">
        <v>156</v>
      </c>
    </row>
    <row r="133" customFormat="false" ht="15" hidden="false" customHeight="true" outlineLevel="0" collapsed="false">
      <c r="A133" s="10"/>
      <c r="B133" s="10"/>
      <c r="C133" s="10"/>
      <c r="D133" s="10"/>
      <c r="E133" s="10"/>
      <c r="F133" s="10" t="s">
        <v>157</v>
      </c>
      <c r="G133" s="22" t="s">
        <v>534</v>
      </c>
      <c r="H133" s="10"/>
      <c r="I133" s="10"/>
      <c r="J133" s="10"/>
      <c r="K133" s="10"/>
      <c r="L133" s="10"/>
      <c r="M133" s="10"/>
      <c r="N133" s="10"/>
    </row>
    <row r="134" customFormat="false" ht="15" hidden="false" customHeight="true" outlineLevel="0" collapsed="false">
      <c r="A134" s="10"/>
      <c r="B134" s="10"/>
      <c r="C134" s="10"/>
      <c r="D134" s="10"/>
      <c r="E134" s="10"/>
      <c r="F134" s="10" t="s">
        <v>159</v>
      </c>
      <c r="G134" s="22" t="s">
        <v>535</v>
      </c>
      <c r="H134" s="10"/>
      <c r="I134" s="10"/>
      <c r="J134" s="10"/>
      <c r="K134" s="10"/>
      <c r="L134" s="10"/>
      <c r="M134" s="10"/>
      <c r="N134" s="10"/>
    </row>
    <row r="135" customFormat="false" ht="27.75" hidden="false" customHeight="true" outlineLevel="0" collapsed="false">
      <c r="A135" s="10" t="s">
        <v>536</v>
      </c>
      <c r="B135" s="10" t="s">
        <v>475</v>
      </c>
      <c r="C135" s="10" t="s">
        <v>537</v>
      </c>
      <c r="D135" s="10" t="s">
        <v>538</v>
      </c>
      <c r="E135" s="10" t="s">
        <v>539</v>
      </c>
      <c r="F135" s="10" t="s">
        <v>152</v>
      </c>
      <c r="G135" s="22" t="s">
        <v>540</v>
      </c>
      <c r="H135" s="10" t="s">
        <v>541</v>
      </c>
      <c r="I135" s="10" t="s">
        <v>542</v>
      </c>
      <c r="J135" s="11"/>
      <c r="K135" s="10" t="s">
        <v>105</v>
      </c>
      <c r="L135" s="10" t="s">
        <v>76</v>
      </c>
      <c r="M135" s="10" t="s">
        <v>85</v>
      </c>
      <c r="N135" s="10" t="s">
        <v>156</v>
      </c>
    </row>
    <row r="136" customFormat="false" ht="30" hidden="false" customHeight="true" outlineLevel="0" collapsed="false">
      <c r="A136" s="10"/>
      <c r="B136" s="10"/>
      <c r="C136" s="10"/>
      <c r="D136" s="10"/>
      <c r="E136" s="10"/>
      <c r="F136" s="10" t="s">
        <v>157</v>
      </c>
      <c r="G136" s="22" t="s">
        <v>543</v>
      </c>
      <c r="H136" s="10"/>
      <c r="I136" s="10"/>
      <c r="J136" s="10"/>
      <c r="K136" s="10"/>
      <c r="L136" s="10"/>
      <c r="M136" s="10"/>
      <c r="N136" s="10"/>
    </row>
    <row r="137" customFormat="false" ht="15" hidden="false" customHeight="true" outlineLevel="0" collapsed="false">
      <c r="A137" s="10" t="s">
        <v>544</v>
      </c>
      <c r="B137" s="10" t="s">
        <v>475</v>
      </c>
      <c r="C137" s="10" t="s">
        <v>537</v>
      </c>
      <c r="D137" s="10" t="s">
        <v>545</v>
      </c>
      <c r="E137" s="10" t="s">
        <v>546</v>
      </c>
      <c r="F137" s="10" t="s">
        <v>152</v>
      </c>
      <c r="G137" s="22" t="s">
        <v>547</v>
      </c>
      <c r="H137" s="10" t="s">
        <v>548</v>
      </c>
      <c r="I137" s="10" t="s">
        <v>549</v>
      </c>
      <c r="J137" s="10"/>
      <c r="K137" s="10" t="s">
        <v>106</v>
      </c>
      <c r="L137" s="10" t="s">
        <v>76</v>
      </c>
      <c r="M137" s="10" t="s">
        <v>97</v>
      </c>
      <c r="N137" s="10" t="s">
        <v>156</v>
      </c>
    </row>
    <row r="138" customFormat="false" ht="15" hidden="false" customHeight="true" outlineLevel="0" collapsed="false">
      <c r="A138" s="10"/>
      <c r="B138" s="10"/>
      <c r="C138" s="10"/>
      <c r="D138" s="10"/>
      <c r="E138" s="10"/>
      <c r="F138" s="10" t="s">
        <v>157</v>
      </c>
      <c r="G138" s="22" t="s">
        <v>550</v>
      </c>
      <c r="H138" s="10"/>
      <c r="I138" s="10"/>
      <c r="J138" s="10"/>
      <c r="K138" s="10"/>
      <c r="L138" s="10"/>
      <c r="M138" s="10"/>
      <c r="N138" s="10"/>
    </row>
    <row r="139" customFormat="false" ht="15" hidden="false" customHeight="true" outlineLevel="0" collapsed="false">
      <c r="A139" s="10"/>
      <c r="B139" s="10"/>
      <c r="C139" s="10"/>
      <c r="D139" s="10"/>
      <c r="E139" s="10"/>
      <c r="F139" s="10" t="s">
        <v>159</v>
      </c>
      <c r="G139" s="22" t="s">
        <v>551</v>
      </c>
      <c r="H139" s="10"/>
      <c r="I139" s="10"/>
      <c r="J139" s="10"/>
      <c r="K139" s="10"/>
      <c r="L139" s="10"/>
      <c r="M139" s="10"/>
      <c r="N139" s="10"/>
    </row>
    <row r="140" customFormat="false" ht="15" hidden="false" customHeight="true" outlineLevel="0" collapsed="false">
      <c r="A140" s="10" t="s">
        <v>552</v>
      </c>
      <c r="B140" s="10" t="s">
        <v>475</v>
      </c>
      <c r="C140" s="10" t="s">
        <v>537</v>
      </c>
      <c r="D140" s="10" t="s">
        <v>553</v>
      </c>
      <c r="E140" s="10" t="s">
        <v>175</v>
      </c>
      <c r="F140" s="10" t="s">
        <v>152</v>
      </c>
      <c r="G140" s="22" t="s">
        <v>554</v>
      </c>
      <c r="H140" s="10" t="s">
        <v>555</v>
      </c>
      <c r="I140" s="10" t="s">
        <v>556</v>
      </c>
      <c r="J140" s="10"/>
      <c r="K140" s="10" t="s">
        <v>106</v>
      </c>
      <c r="L140" s="10" t="s">
        <v>76</v>
      </c>
      <c r="M140" s="10" t="s">
        <v>91</v>
      </c>
      <c r="N140" s="10" t="s">
        <v>156</v>
      </c>
    </row>
    <row r="141" customFormat="false" ht="15" hidden="false" customHeight="true" outlineLevel="0" collapsed="false">
      <c r="A141" s="10"/>
      <c r="B141" s="10"/>
      <c r="C141" s="10"/>
      <c r="D141" s="10"/>
      <c r="E141" s="10"/>
      <c r="F141" s="10" t="s">
        <v>157</v>
      </c>
      <c r="G141" s="22" t="s">
        <v>557</v>
      </c>
      <c r="H141" s="10"/>
      <c r="I141" s="10"/>
      <c r="J141" s="10"/>
      <c r="K141" s="10"/>
      <c r="L141" s="10"/>
      <c r="M141" s="10"/>
      <c r="N141" s="10"/>
    </row>
    <row r="142" customFormat="false" ht="15" hidden="false" customHeight="true" outlineLevel="0" collapsed="false">
      <c r="A142" s="10"/>
      <c r="B142" s="10"/>
      <c r="C142" s="10"/>
      <c r="D142" s="10"/>
      <c r="E142" s="10"/>
      <c r="F142" s="10" t="s">
        <v>159</v>
      </c>
      <c r="G142" s="22" t="s">
        <v>558</v>
      </c>
      <c r="H142" s="10"/>
      <c r="I142" s="10"/>
      <c r="J142" s="10"/>
      <c r="K142" s="10"/>
      <c r="L142" s="10"/>
      <c r="M142" s="10"/>
      <c r="N142" s="10"/>
    </row>
    <row r="143" customFormat="false" ht="15" hidden="false" customHeight="true" outlineLevel="0" collapsed="false">
      <c r="A143" s="10" t="s">
        <v>559</v>
      </c>
      <c r="B143" s="10" t="s">
        <v>475</v>
      </c>
      <c r="C143" s="10" t="s">
        <v>537</v>
      </c>
      <c r="D143" s="10" t="s">
        <v>560</v>
      </c>
      <c r="E143" s="10" t="s">
        <v>175</v>
      </c>
      <c r="F143" s="10" t="s">
        <v>152</v>
      </c>
      <c r="G143" s="22" t="s">
        <v>561</v>
      </c>
      <c r="H143" s="10" t="s">
        <v>328</v>
      </c>
      <c r="I143" s="10" t="s">
        <v>562</v>
      </c>
      <c r="J143" s="10"/>
      <c r="K143" s="10" t="s">
        <v>107</v>
      </c>
      <c r="L143" s="10" t="s">
        <v>76</v>
      </c>
      <c r="M143" s="10" t="s">
        <v>91</v>
      </c>
      <c r="N143" s="10" t="s">
        <v>156</v>
      </c>
    </row>
    <row r="144" customFormat="false" ht="15" hidden="false" customHeight="true" outlineLevel="0" collapsed="false">
      <c r="A144" s="10"/>
      <c r="B144" s="10"/>
      <c r="C144" s="10"/>
      <c r="D144" s="10"/>
      <c r="E144" s="10"/>
      <c r="F144" s="10" t="s">
        <v>157</v>
      </c>
      <c r="G144" s="22" t="s">
        <v>563</v>
      </c>
      <c r="H144" s="10"/>
      <c r="I144" s="10"/>
      <c r="J144" s="10"/>
      <c r="K144" s="10"/>
      <c r="L144" s="10"/>
      <c r="M144" s="10"/>
      <c r="N144" s="10"/>
    </row>
    <row r="145" customFormat="false" ht="15" hidden="false" customHeight="true" outlineLevel="0" collapsed="false">
      <c r="A145" s="10"/>
      <c r="B145" s="10"/>
      <c r="C145" s="10"/>
      <c r="D145" s="10"/>
      <c r="E145" s="10"/>
      <c r="F145" s="10" t="s">
        <v>159</v>
      </c>
      <c r="G145" s="22" t="s">
        <v>564</v>
      </c>
      <c r="H145" s="10"/>
      <c r="I145" s="10"/>
      <c r="J145" s="10"/>
      <c r="K145" s="10"/>
      <c r="L145" s="10"/>
      <c r="M145" s="10"/>
      <c r="N145" s="10"/>
    </row>
    <row r="146" customFormat="false" ht="27.75" hidden="false" customHeight="true" outlineLevel="0" collapsed="false">
      <c r="A146" s="10" t="s">
        <v>565</v>
      </c>
      <c r="B146" s="10" t="s">
        <v>475</v>
      </c>
      <c r="C146" s="10" t="s">
        <v>186</v>
      </c>
      <c r="D146" s="10" t="s">
        <v>566</v>
      </c>
      <c r="E146" s="10" t="s">
        <v>523</v>
      </c>
      <c r="F146" s="10" t="s">
        <v>152</v>
      </c>
      <c r="G146" s="22" t="s">
        <v>567</v>
      </c>
      <c r="H146" s="10" t="s">
        <v>487</v>
      </c>
      <c r="I146" s="10" t="s">
        <v>568</v>
      </c>
      <c r="J146" s="11"/>
      <c r="K146" s="10" t="s">
        <v>105</v>
      </c>
      <c r="L146" s="10" t="s">
        <v>76</v>
      </c>
      <c r="M146" s="10" t="s">
        <v>91</v>
      </c>
      <c r="N146" s="10" t="s">
        <v>156</v>
      </c>
    </row>
    <row r="147" customFormat="false" ht="15" hidden="false" customHeight="true" outlineLevel="0" collapsed="false">
      <c r="A147" s="10"/>
      <c r="B147" s="10"/>
      <c r="C147" s="10"/>
      <c r="D147" s="10"/>
      <c r="E147" s="10"/>
      <c r="F147" s="10" t="s">
        <v>157</v>
      </c>
      <c r="G147" s="22" t="s">
        <v>569</v>
      </c>
      <c r="H147" s="10"/>
      <c r="I147" s="10"/>
      <c r="J147" s="10"/>
      <c r="K147" s="10"/>
      <c r="L147" s="10"/>
      <c r="M147" s="10"/>
      <c r="N147" s="10"/>
    </row>
    <row r="148" customFormat="false" ht="15" hidden="false" customHeight="true" outlineLevel="0" collapsed="false">
      <c r="A148" s="10" t="s">
        <v>570</v>
      </c>
      <c r="B148" s="10" t="s">
        <v>475</v>
      </c>
      <c r="C148" s="10" t="s">
        <v>186</v>
      </c>
      <c r="D148" s="10" t="s">
        <v>571</v>
      </c>
      <c r="E148" s="10" t="s">
        <v>572</v>
      </c>
      <c r="F148" s="10" t="s">
        <v>152</v>
      </c>
      <c r="G148" s="22" t="s">
        <v>573</v>
      </c>
      <c r="H148" s="10" t="s">
        <v>574</v>
      </c>
      <c r="I148" s="10" t="s">
        <v>575</v>
      </c>
      <c r="J148" s="11"/>
      <c r="K148" s="10" t="s">
        <v>105</v>
      </c>
      <c r="L148" s="10" t="s">
        <v>76</v>
      </c>
      <c r="M148" s="10" t="s">
        <v>83</v>
      </c>
      <c r="N148" s="10" t="s">
        <v>156</v>
      </c>
    </row>
    <row r="149" customFormat="false" ht="15" hidden="false" customHeight="true" outlineLevel="0" collapsed="false">
      <c r="A149" s="10"/>
      <c r="B149" s="10"/>
      <c r="C149" s="10"/>
      <c r="D149" s="10"/>
      <c r="E149" s="10"/>
      <c r="F149" s="10" t="s">
        <v>157</v>
      </c>
      <c r="G149" s="22" t="s">
        <v>576</v>
      </c>
      <c r="H149" s="10"/>
      <c r="I149" s="10"/>
      <c r="J149" s="10"/>
      <c r="K149" s="10"/>
      <c r="L149" s="10"/>
      <c r="M149" s="10"/>
      <c r="N149" s="10"/>
    </row>
    <row r="150" customFormat="false" ht="15" hidden="false" customHeight="true" outlineLevel="0" collapsed="false">
      <c r="A150" s="10" t="s">
        <v>577</v>
      </c>
      <c r="B150" s="10" t="s">
        <v>475</v>
      </c>
      <c r="C150" s="10" t="s">
        <v>186</v>
      </c>
      <c r="D150" s="10" t="s">
        <v>578</v>
      </c>
      <c r="E150" s="10" t="s">
        <v>523</v>
      </c>
      <c r="F150" s="10" t="s">
        <v>152</v>
      </c>
      <c r="G150" s="22" t="s">
        <v>550</v>
      </c>
      <c r="H150" s="10" t="s">
        <v>579</v>
      </c>
      <c r="I150" s="10" t="s">
        <v>580</v>
      </c>
      <c r="J150" s="11"/>
      <c r="K150" s="10" t="s">
        <v>106</v>
      </c>
      <c r="L150" s="10" t="s">
        <v>76</v>
      </c>
      <c r="M150" s="10" t="s">
        <v>99</v>
      </c>
      <c r="N150" s="10" t="s">
        <v>156</v>
      </c>
    </row>
    <row r="151" customFormat="false" ht="15" hidden="false" customHeight="true" outlineLevel="0" collapsed="false">
      <c r="A151" s="10"/>
      <c r="B151" s="10"/>
      <c r="C151" s="10"/>
      <c r="D151" s="10"/>
      <c r="E151" s="10"/>
      <c r="F151" s="10" t="s">
        <v>157</v>
      </c>
      <c r="G151" s="22" t="s">
        <v>581</v>
      </c>
      <c r="H151" s="10"/>
      <c r="I151" s="10"/>
      <c r="J151" s="10"/>
      <c r="K151" s="10"/>
      <c r="L151" s="10"/>
      <c r="M151" s="10"/>
      <c r="N151" s="10"/>
    </row>
    <row r="152" customFormat="false" ht="30" hidden="false" customHeight="true" outlineLevel="0" collapsed="false">
      <c r="A152" s="10"/>
      <c r="B152" s="10"/>
      <c r="C152" s="10"/>
      <c r="D152" s="10"/>
      <c r="E152" s="10"/>
      <c r="F152" s="10" t="s">
        <v>159</v>
      </c>
      <c r="G152" s="22" t="s">
        <v>582</v>
      </c>
      <c r="H152" s="10"/>
      <c r="I152" s="10"/>
      <c r="J152" s="10"/>
      <c r="K152" s="10"/>
      <c r="L152" s="10"/>
      <c r="M152" s="10"/>
      <c r="N152" s="10"/>
    </row>
    <row r="153" customFormat="false" ht="15" hidden="false" customHeight="true" outlineLevel="0" collapsed="false">
      <c r="A153" s="10"/>
      <c r="B153" s="10"/>
      <c r="C153" s="10"/>
      <c r="D153" s="10"/>
      <c r="E153" s="10"/>
      <c r="F153" s="10" t="s">
        <v>171</v>
      </c>
      <c r="G153" s="22" t="s">
        <v>583</v>
      </c>
      <c r="H153" s="10"/>
      <c r="I153" s="10"/>
      <c r="J153" s="10"/>
      <c r="K153" s="10"/>
      <c r="L153" s="10"/>
      <c r="M153" s="10"/>
      <c r="N153" s="10"/>
    </row>
    <row r="154" customFormat="false" ht="15" hidden="false" customHeight="true" outlineLevel="0" collapsed="false">
      <c r="A154" s="10" t="s">
        <v>584</v>
      </c>
      <c r="B154" s="10" t="s">
        <v>475</v>
      </c>
      <c r="C154" s="10" t="s">
        <v>186</v>
      </c>
      <c r="D154" s="10" t="s">
        <v>585</v>
      </c>
      <c r="E154" s="10" t="s">
        <v>175</v>
      </c>
      <c r="F154" s="10" t="s">
        <v>152</v>
      </c>
      <c r="G154" s="22" t="s">
        <v>586</v>
      </c>
      <c r="H154" s="10" t="s">
        <v>328</v>
      </c>
      <c r="I154" s="10" t="s">
        <v>587</v>
      </c>
      <c r="J154" s="11"/>
      <c r="K154" s="10" t="s">
        <v>106</v>
      </c>
      <c r="L154" s="10" t="s">
        <v>76</v>
      </c>
      <c r="M154" s="10" t="s">
        <v>94</v>
      </c>
      <c r="N154" s="10" t="s">
        <v>156</v>
      </c>
    </row>
    <row r="155" customFormat="false" ht="15" hidden="false" customHeight="true" outlineLevel="0" collapsed="false">
      <c r="A155" s="10"/>
      <c r="B155" s="10"/>
      <c r="C155" s="10"/>
      <c r="D155" s="10"/>
      <c r="E155" s="10"/>
      <c r="F155" s="10" t="s">
        <v>157</v>
      </c>
      <c r="G155" s="22" t="s">
        <v>588</v>
      </c>
      <c r="H155" s="10"/>
      <c r="I155" s="10"/>
      <c r="J155" s="10"/>
      <c r="K155" s="10"/>
      <c r="L155" s="10"/>
      <c r="M155" s="10"/>
      <c r="N155" s="10"/>
    </row>
    <row r="156" customFormat="false" ht="15" hidden="false" customHeight="true" outlineLevel="0" collapsed="false">
      <c r="A156" s="10"/>
      <c r="B156" s="10"/>
      <c r="C156" s="10"/>
      <c r="D156" s="10"/>
      <c r="E156" s="10"/>
      <c r="F156" s="10" t="s">
        <v>159</v>
      </c>
      <c r="G156" s="22" t="s">
        <v>589</v>
      </c>
      <c r="H156" s="10"/>
      <c r="I156" s="10"/>
      <c r="J156" s="10"/>
      <c r="K156" s="10"/>
      <c r="L156" s="10"/>
      <c r="M156" s="10"/>
      <c r="N156" s="10"/>
    </row>
    <row r="157" customFormat="false" ht="15" hidden="false" customHeight="true" outlineLevel="0" collapsed="false">
      <c r="A157" s="10" t="s">
        <v>590</v>
      </c>
      <c r="B157" s="10" t="s">
        <v>475</v>
      </c>
      <c r="C157" s="10" t="s">
        <v>186</v>
      </c>
      <c r="D157" s="10" t="s">
        <v>591</v>
      </c>
      <c r="E157" s="10" t="s">
        <v>175</v>
      </c>
      <c r="F157" s="10" t="s">
        <v>152</v>
      </c>
      <c r="G157" s="22" t="s">
        <v>592</v>
      </c>
      <c r="H157" s="10" t="s">
        <v>593</v>
      </c>
      <c r="I157" s="10" t="s">
        <v>594</v>
      </c>
      <c r="J157" s="11"/>
      <c r="K157" s="10" t="s">
        <v>106</v>
      </c>
      <c r="L157" s="10" t="s">
        <v>78</v>
      </c>
      <c r="M157" s="10" t="s">
        <v>83</v>
      </c>
      <c r="N157" s="10" t="s">
        <v>156</v>
      </c>
    </row>
    <row r="158" customFormat="false" ht="15" hidden="false" customHeight="true" outlineLevel="0" collapsed="false">
      <c r="A158" s="10"/>
      <c r="B158" s="10"/>
      <c r="C158" s="10"/>
      <c r="D158" s="10"/>
      <c r="E158" s="10"/>
      <c r="F158" s="10" t="s">
        <v>157</v>
      </c>
      <c r="G158" s="22" t="s">
        <v>595</v>
      </c>
      <c r="H158" s="10"/>
      <c r="I158" s="10"/>
      <c r="J158" s="10"/>
      <c r="K158" s="10"/>
      <c r="L158" s="10"/>
      <c r="M158" s="10"/>
      <c r="N158" s="10"/>
    </row>
    <row r="159" customFormat="false" ht="15" hidden="false" customHeight="true" outlineLevel="0" collapsed="false">
      <c r="A159" s="10"/>
      <c r="B159" s="10"/>
      <c r="C159" s="10"/>
      <c r="D159" s="10"/>
      <c r="E159" s="10"/>
      <c r="F159" s="10" t="s">
        <v>159</v>
      </c>
      <c r="G159" s="22" t="s">
        <v>596</v>
      </c>
      <c r="H159" s="10"/>
      <c r="I159" s="10"/>
      <c r="J159" s="10"/>
      <c r="K159" s="10"/>
      <c r="L159" s="10"/>
      <c r="M159" s="10"/>
      <c r="N159" s="10"/>
    </row>
    <row r="160" customFormat="false" ht="15" hidden="false" customHeight="true" outlineLevel="0" collapsed="false">
      <c r="A160" s="10" t="s">
        <v>597</v>
      </c>
      <c r="B160" s="10" t="s">
        <v>475</v>
      </c>
      <c r="C160" s="10" t="s">
        <v>186</v>
      </c>
      <c r="D160" s="10" t="s">
        <v>598</v>
      </c>
      <c r="E160" s="10" t="s">
        <v>599</v>
      </c>
      <c r="F160" s="10" t="s">
        <v>152</v>
      </c>
      <c r="G160" s="22" t="s">
        <v>250</v>
      </c>
      <c r="H160" s="10" t="s">
        <v>600</v>
      </c>
      <c r="I160" s="10" t="s">
        <v>601</v>
      </c>
      <c r="J160" s="11"/>
      <c r="K160" s="10" t="s">
        <v>106</v>
      </c>
      <c r="L160" s="10" t="s">
        <v>76</v>
      </c>
      <c r="M160" s="10" t="s">
        <v>86</v>
      </c>
      <c r="N160" s="10" t="s">
        <v>285</v>
      </c>
    </row>
    <row r="161" customFormat="false" ht="15" hidden="false" customHeight="true" outlineLevel="0" collapsed="false">
      <c r="A161" s="10"/>
      <c r="B161" s="10"/>
      <c r="C161" s="10"/>
      <c r="D161" s="10"/>
      <c r="E161" s="10"/>
      <c r="F161" s="10" t="s">
        <v>157</v>
      </c>
      <c r="G161" s="22" t="s">
        <v>602</v>
      </c>
      <c r="H161" s="10"/>
      <c r="I161" s="10"/>
      <c r="J161" s="10"/>
      <c r="K161" s="10"/>
      <c r="L161" s="10"/>
      <c r="M161" s="10"/>
      <c r="N161" s="10"/>
    </row>
    <row r="162" customFormat="false" ht="15" hidden="false" customHeight="true" outlineLevel="0" collapsed="false">
      <c r="A162" s="10"/>
      <c r="B162" s="10"/>
      <c r="C162" s="10"/>
      <c r="D162" s="10"/>
      <c r="E162" s="10"/>
      <c r="F162" s="10" t="s">
        <v>159</v>
      </c>
      <c r="G162" s="22" t="s">
        <v>603</v>
      </c>
      <c r="H162" s="10"/>
      <c r="I162" s="10"/>
      <c r="J162" s="10"/>
      <c r="K162" s="10"/>
      <c r="L162" s="10"/>
      <c r="M162" s="10"/>
      <c r="N162" s="10"/>
    </row>
    <row r="163" customFormat="false" ht="15" hidden="false" customHeight="true" outlineLevel="0" collapsed="false">
      <c r="A163" s="10" t="s">
        <v>604</v>
      </c>
      <c r="B163" s="10" t="s">
        <v>475</v>
      </c>
      <c r="C163" s="10" t="s">
        <v>186</v>
      </c>
      <c r="D163" s="10" t="s">
        <v>605</v>
      </c>
      <c r="E163" s="10" t="s">
        <v>606</v>
      </c>
      <c r="F163" s="10" t="s">
        <v>152</v>
      </c>
      <c r="G163" s="22" t="s">
        <v>607</v>
      </c>
      <c r="H163" s="10" t="s">
        <v>608</v>
      </c>
      <c r="I163" s="10" t="s">
        <v>609</v>
      </c>
      <c r="J163" s="10"/>
      <c r="K163" s="10" t="s">
        <v>107</v>
      </c>
      <c r="L163" s="10" t="s">
        <v>76</v>
      </c>
      <c r="M163" s="10" t="s">
        <v>99</v>
      </c>
      <c r="N163" s="10" t="s">
        <v>285</v>
      </c>
    </row>
    <row r="164" customFormat="false" ht="15" hidden="false" customHeight="true" outlineLevel="0" collapsed="false">
      <c r="A164" s="10"/>
      <c r="B164" s="10"/>
      <c r="C164" s="10"/>
      <c r="D164" s="10"/>
      <c r="E164" s="10"/>
      <c r="F164" s="10" t="s">
        <v>157</v>
      </c>
      <c r="G164" s="22" t="s">
        <v>610</v>
      </c>
      <c r="H164" s="10"/>
      <c r="I164" s="10"/>
      <c r="J164" s="10"/>
      <c r="K164" s="10"/>
      <c r="L164" s="10"/>
      <c r="M164" s="10"/>
      <c r="N164" s="10"/>
    </row>
    <row r="165" customFormat="false" ht="15" hidden="false" customHeight="true" outlineLevel="0" collapsed="false">
      <c r="A165" s="10"/>
      <c r="B165" s="10"/>
      <c r="C165" s="10"/>
      <c r="D165" s="10"/>
      <c r="E165" s="10"/>
      <c r="F165" s="10" t="s">
        <v>159</v>
      </c>
      <c r="G165" s="22" t="s">
        <v>611</v>
      </c>
      <c r="H165" s="10"/>
      <c r="I165" s="10"/>
      <c r="J165" s="10"/>
      <c r="K165" s="10"/>
      <c r="L165" s="10"/>
      <c r="M165" s="10"/>
      <c r="N165" s="10"/>
    </row>
    <row r="166" customFormat="false" ht="15" hidden="false" customHeight="true" outlineLevel="0" collapsed="false">
      <c r="A166" s="10" t="s">
        <v>612</v>
      </c>
      <c r="B166" s="10" t="s">
        <v>475</v>
      </c>
      <c r="C166" s="10" t="s">
        <v>205</v>
      </c>
      <c r="D166" s="10" t="s">
        <v>613</v>
      </c>
      <c r="E166" s="10" t="s">
        <v>217</v>
      </c>
      <c r="F166" s="10" t="s">
        <v>152</v>
      </c>
      <c r="G166" s="22" t="s">
        <v>614</v>
      </c>
      <c r="H166" s="10" t="s">
        <v>615</v>
      </c>
      <c r="I166" s="10" t="s">
        <v>616</v>
      </c>
      <c r="J166" s="11"/>
      <c r="K166" s="10" t="s">
        <v>105</v>
      </c>
      <c r="L166" s="10" t="s">
        <v>77</v>
      </c>
      <c r="M166" s="10" t="s">
        <v>102</v>
      </c>
      <c r="N166" s="10" t="s">
        <v>156</v>
      </c>
    </row>
    <row r="167" customFormat="false" ht="30" hidden="false" customHeight="true" outlineLevel="0" collapsed="false">
      <c r="A167" s="10"/>
      <c r="B167" s="10"/>
      <c r="C167" s="10"/>
      <c r="D167" s="10"/>
      <c r="E167" s="10"/>
      <c r="F167" s="10" t="s">
        <v>157</v>
      </c>
      <c r="G167" s="22" t="s">
        <v>617</v>
      </c>
      <c r="H167" s="10"/>
      <c r="I167" s="10"/>
      <c r="J167" s="10"/>
      <c r="K167" s="10"/>
      <c r="L167" s="10"/>
      <c r="M167" s="10"/>
      <c r="N167" s="10"/>
    </row>
    <row r="168" customFormat="false" ht="15" hidden="false" customHeight="true" outlineLevel="0" collapsed="false">
      <c r="A168" s="10"/>
      <c r="B168" s="10"/>
      <c r="C168" s="10"/>
      <c r="D168" s="10"/>
      <c r="E168" s="10"/>
      <c r="F168" s="10" t="s">
        <v>159</v>
      </c>
      <c r="G168" s="22" t="s">
        <v>618</v>
      </c>
      <c r="H168" s="10"/>
      <c r="I168" s="10"/>
      <c r="J168" s="10"/>
      <c r="K168" s="10"/>
      <c r="L168" s="10"/>
      <c r="M168" s="10"/>
      <c r="N168" s="10"/>
    </row>
    <row r="169" customFormat="false" ht="48" hidden="false" customHeight="true" outlineLevel="0" collapsed="false">
      <c r="A169" s="10"/>
      <c r="B169" s="10"/>
      <c r="C169" s="10"/>
      <c r="D169" s="10"/>
      <c r="E169" s="10"/>
      <c r="F169" s="10" t="s">
        <v>171</v>
      </c>
      <c r="G169" s="22" t="s">
        <v>619</v>
      </c>
      <c r="H169" s="10"/>
      <c r="I169" s="10"/>
      <c r="J169" s="10"/>
      <c r="K169" s="10"/>
      <c r="L169" s="10"/>
      <c r="M169" s="10"/>
      <c r="N169" s="10"/>
    </row>
    <row r="170" customFormat="false" ht="15" hidden="false" customHeight="true" outlineLevel="0" collapsed="false">
      <c r="A170" s="10" t="s">
        <v>620</v>
      </c>
      <c r="B170" s="10" t="s">
        <v>475</v>
      </c>
      <c r="C170" s="10" t="s">
        <v>205</v>
      </c>
      <c r="D170" s="10" t="s">
        <v>621</v>
      </c>
      <c r="E170" s="10" t="s">
        <v>217</v>
      </c>
      <c r="F170" s="10" t="s">
        <v>152</v>
      </c>
      <c r="G170" s="31" t="s">
        <v>622</v>
      </c>
      <c r="H170" s="11" t="s">
        <v>623</v>
      </c>
      <c r="I170" s="10" t="s">
        <v>624</v>
      </c>
      <c r="J170" s="11"/>
      <c r="K170" s="10" t="s">
        <v>105</v>
      </c>
      <c r="L170" s="10" t="s">
        <v>77</v>
      </c>
      <c r="M170" s="10" t="s">
        <v>86</v>
      </c>
      <c r="N170" s="10" t="s">
        <v>156</v>
      </c>
    </row>
    <row r="171" customFormat="false" ht="15" hidden="false" customHeight="true" outlineLevel="0" collapsed="false">
      <c r="A171" s="10"/>
      <c r="B171" s="10"/>
      <c r="C171" s="10"/>
      <c r="D171" s="10"/>
      <c r="E171" s="10"/>
      <c r="F171" s="10" t="s">
        <v>157</v>
      </c>
      <c r="G171" s="22" t="s">
        <v>625</v>
      </c>
      <c r="H171" s="11"/>
      <c r="I171" s="11"/>
      <c r="J171" s="11"/>
      <c r="K171" s="10"/>
      <c r="L171" s="10"/>
      <c r="M171" s="10"/>
      <c r="N171" s="10"/>
    </row>
    <row r="172" customFormat="false" ht="15" hidden="false" customHeight="true" outlineLevel="0" collapsed="false">
      <c r="A172" s="10"/>
      <c r="B172" s="10"/>
      <c r="C172" s="10"/>
      <c r="D172" s="10"/>
      <c r="E172" s="10"/>
      <c r="F172" s="10" t="s">
        <v>159</v>
      </c>
      <c r="G172" s="22" t="s">
        <v>626</v>
      </c>
      <c r="H172" s="11"/>
      <c r="I172" s="11"/>
      <c r="J172" s="11"/>
      <c r="K172" s="10"/>
      <c r="L172" s="10"/>
      <c r="M172" s="10"/>
      <c r="N172" s="10"/>
    </row>
    <row r="173" customFormat="false" ht="15" hidden="false" customHeight="true" outlineLevel="0" collapsed="false">
      <c r="A173" s="10" t="s">
        <v>627</v>
      </c>
      <c r="B173" s="10" t="s">
        <v>475</v>
      </c>
      <c r="C173" s="10" t="s">
        <v>205</v>
      </c>
      <c r="D173" s="10" t="s">
        <v>628</v>
      </c>
      <c r="E173" s="10" t="s">
        <v>629</v>
      </c>
      <c r="F173" s="10" t="s">
        <v>152</v>
      </c>
      <c r="G173" s="22" t="s">
        <v>630</v>
      </c>
      <c r="H173" s="10" t="s">
        <v>631</v>
      </c>
      <c r="I173" s="10" t="s">
        <v>632</v>
      </c>
      <c r="J173" s="11"/>
      <c r="K173" s="10" t="s">
        <v>105</v>
      </c>
      <c r="L173" s="10" t="s">
        <v>76</v>
      </c>
      <c r="M173" s="10" t="s">
        <v>94</v>
      </c>
      <c r="N173" s="10" t="s">
        <v>156</v>
      </c>
    </row>
    <row r="174" customFormat="false" ht="15" hidden="false" customHeight="true" outlineLevel="0" collapsed="false">
      <c r="A174" s="10"/>
      <c r="B174" s="10"/>
      <c r="C174" s="10"/>
      <c r="D174" s="10"/>
      <c r="E174" s="10"/>
      <c r="F174" s="10" t="s">
        <v>157</v>
      </c>
      <c r="G174" s="22" t="s">
        <v>633</v>
      </c>
      <c r="H174" s="10"/>
      <c r="I174" s="10"/>
      <c r="J174" s="10"/>
      <c r="K174" s="10"/>
      <c r="L174" s="10"/>
      <c r="M174" s="10"/>
      <c r="N174" s="10"/>
    </row>
    <row r="175" customFormat="false" ht="15" hidden="false" customHeight="true" outlineLevel="0" collapsed="false">
      <c r="A175" s="10"/>
      <c r="B175" s="10"/>
      <c r="C175" s="10"/>
      <c r="D175" s="10"/>
      <c r="E175" s="10"/>
      <c r="F175" s="10" t="s">
        <v>159</v>
      </c>
      <c r="G175" s="22" t="s">
        <v>634</v>
      </c>
      <c r="H175" s="10"/>
      <c r="I175" s="10"/>
      <c r="J175" s="10"/>
      <c r="K175" s="10"/>
      <c r="L175" s="10"/>
      <c r="M175" s="10"/>
      <c r="N175" s="10"/>
    </row>
    <row r="176" customFormat="false" ht="15" hidden="false" customHeight="true" outlineLevel="0" collapsed="false">
      <c r="A176" s="10" t="s">
        <v>635</v>
      </c>
      <c r="B176" s="10" t="s">
        <v>475</v>
      </c>
      <c r="C176" s="10" t="s">
        <v>205</v>
      </c>
      <c r="D176" s="10" t="s">
        <v>636</v>
      </c>
      <c r="E176" s="10" t="s">
        <v>637</v>
      </c>
      <c r="F176" s="10" t="s">
        <v>152</v>
      </c>
      <c r="G176" s="22" t="s">
        <v>638</v>
      </c>
      <c r="H176" s="10" t="s">
        <v>639</v>
      </c>
      <c r="I176" s="10" t="s">
        <v>640</v>
      </c>
      <c r="J176" s="10"/>
      <c r="K176" s="10" t="s">
        <v>105</v>
      </c>
      <c r="L176" s="10" t="s">
        <v>76</v>
      </c>
      <c r="M176" s="10" t="s">
        <v>86</v>
      </c>
      <c r="N176" s="10" t="s">
        <v>156</v>
      </c>
    </row>
    <row r="177" customFormat="false" ht="15" hidden="false" customHeight="true" outlineLevel="0" collapsed="false">
      <c r="A177" s="10"/>
      <c r="B177" s="10"/>
      <c r="C177" s="10"/>
      <c r="D177" s="10"/>
      <c r="E177" s="10"/>
      <c r="F177" s="10" t="s">
        <v>157</v>
      </c>
      <c r="G177" s="22" t="s">
        <v>641</v>
      </c>
      <c r="H177" s="10"/>
      <c r="I177" s="10"/>
      <c r="J177" s="10"/>
      <c r="K177" s="10"/>
      <c r="L177" s="10"/>
      <c r="M177" s="10"/>
      <c r="N177" s="10"/>
    </row>
    <row r="178" customFormat="false" ht="15" hidden="false" customHeight="true" outlineLevel="0" collapsed="false">
      <c r="A178" s="10"/>
      <c r="B178" s="10"/>
      <c r="C178" s="10"/>
      <c r="D178" s="10"/>
      <c r="E178" s="10"/>
      <c r="F178" s="10" t="s">
        <v>159</v>
      </c>
      <c r="G178" s="22" t="s">
        <v>642</v>
      </c>
      <c r="H178" s="10"/>
      <c r="I178" s="10"/>
      <c r="J178" s="10"/>
      <c r="K178" s="10"/>
      <c r="L178" s="10"/>
      <c r="M178" s="10"/>
      <c r="N178" s="10"/>
    </row>
    <row r="179" customFormat="false" ht="15" hidden="false" customHeight="true" outlineLevel="0" collapsed="false">
      <c r="A179" s="10" t="s">
        <v>643</v>
      </c>
      <c r="B179" s="10" t="s">
        <v>475</v>
      </c>
      <c r="C179" s="10" t="s">
        <v>205</v>
      </c>
      <c r="D179" s="10" t="s">
        <v>644</v>
      </c>
      <c r="E179" s="10" t="s">
        <v>188</v>
      </c>
      <c r="F179" s="10" t="s">
        <v>152</v>
      </c>
      <c r="G179" s="22" t="s">
        <v>645</v>
      </c>
      <c r="H179" s="10" t="s">
        <v>646</v>
      </c>
      <c r="I179" s="10" t="s">
        <v>647</v>
      </c>
      <c r="J179" s="10"/>
      <c r="K179" s="10" t="s">
        <v>106</v>
      </c>
      <c r="L179" s="10" t="s">
        <v>76</v>
      </c>
      <c r="M179" s="10" t="s">
        <v>94</v>
      </c>
      <c r="N179" s="10" t="s">
        <v>156</v>
      </c>
    </row>
    <row r="180" customFormat="false" ht="15" hidden="false" customHeight="true" outlineLevel="0" collapsed="false">
      <c r="A180" s="10"/>
      <c r="B180" s="10"/>
      <c r="C180" s="10"/>
      <c r="D180" s="10"/>
      <c r="E180" s="10"/>
      <c r="F180" s="10" t="s">
        <v>157</v>
      </c>
      <c r="G180" s="22" t="s">
        <v>648</v>
      </c>
      <c r="H180" s="10"/>
      <c r="I180" s="10"/>
      <c r="J180" s="10"/>
      <c r="K180" s="10"/>
      <c r="L180" s="10"/>
      <c r="M180" s="10"/>
      <c r="N180" s="10"/>
    </row>
    <row r="181" customFormat="false" ht="15" hidden="false" customHeight="true" outlineLevel="0" collapsed="false">
      <c r="A181" s="10" t="s">
        <v>649</v>
      </c>
      <c r="B181" s="10" t="s">
        <v>475</v>
      </c>
      <c r="C181" s="10" t="s">
        <v>205</v>
      </c>
      <c r="D181" s="10" t="s">
        <v>650</v>
      </c>
      <c r="E181" s="10" t="s">
        <v>450</v>
      </c>
      <c r="F181" s="10" t="s">
        <v>152</v>
      </c>
      <c r="G181" s="22" t="s">
        <v>651</v>
      </c>
      <c r="H181" s="10" t="s">
        <v>652</v>
      </c>
      <c r="I181" s="10" t="s">
        <v>653</v>
      </c>
      <c r="J181" s="10"/>
      <c r="K181" s="10" t="s">
        <v>106</v>
      </c>
      <c r="L181" s="10" t="s">
        <v>76</v>
      </c>
      <c r="M181" s="10" t="s">
        <v>101</v>
      </c>
      <c r="N181" s="10" t="s">
        <v>450</v>
      </c>
    </row>
    <row r="182" customFormat="false" ht="15" hidden="false" customHeight="true" outlineLevel="0" collapsed="false">
      <c r="A182" s="10"/>
      <c r="B182" s="10"/>
      <c r="C182" s="10"/>
      <c r="D182" s="10"/>
      <c r="E182" s="10"/>
      <c r="F182" s="10" t="s">
        <v>157</v>
      </c>
      <c r="G182" s="22" t="s">
        <v>654</v>
      </c>
      <c r="H182" s="10"/>
      <c r="I182" s="10"/>
      <c r="J182" s="10"/>
      <c r="K182" s="10"/>
      <c r="L182" s="10"/>
      <c r="M182" s="10"/>
      <c r="N182" s="10"/>
    </row>
    <row r="183" customFormat="false" ht="15" hidden="false" customHeight="true" outlineLevel="0" collapsed="false">
      <c r="A183" s="10"/>
      <c r="B183" s="10"/>
      <c r="C183" s="10"/>
      <c r="D183" s="10"/>
      <c r="E183" s="10"/>
      <c r="F183" s="10" t="s">
        <v>159</v>
      </c>
      <c r="G183" s="22" t="s">
        <v>655</v>
      </c>
      <c r="H183" s="10"/>
      <c r="I183" s="10"/>
      <c r="J183" s="10"/>
      <c r="K183" s="10"/>
      <c r="L183" s="10"/>
      <c r="M183" s="10"/>
      <c r="N183" s="10"/>
    </row>
    <row r="184" customFormat="false" ht="15" hidden="false" customHeight="true" outlineLevel="0" collapsed="false">
      <c r="A184" s="10" t="s">
        <v>656</v>
      </c>
      <c r="B184" s="10" t="s">
        <v>475</v>
      </c>
      <c r="C184" s="10" t="s">
        <v>205</v>
      </c>
      <c r="D184" s="10" t="s">
        <v>657</v>
      </c>
      <c r="E184" s="10" t="s">
        <v>629</v>
      </c>
      <c r="F184" s="10" t="s">
        <v>152</v>
      </c>
      <c r="G184" s="22" t="s">
        <v>658</v>
      </c>
      <c r="H184" s="10" t="s">
        <v>659</v>
      </c>
      <c r="I184" s="10" t="s">
        <v>660</v>
      </c>
      <c r="J184" s="10"/>
      <c r="K184" s="10" t="s">
        <v>106</v>
      </c>
      <c r="L184" s="10" t="s">
        <v>76</v>
      </c>
      <c r="M184" s="10" t="s">
        <v>89</v>
      </c>
      <c r="N184" s="10" t="s">
        <v>285</v>
      </c>
    </row>
    <row r="185" customFormat="false" ht="15" hidden="false" customHeight="true" outlineLevel="0" collapsed="false">
      <c r="A185" s="10"/>
      <c r="B185" s="10"/>
      <c r="C185" s="10"/>
      <c r="D185" s="10"/>
      <c r="E185" s="10"/>
      <c r="F185" s="10" t="s">
        <v>157</v>
      </c>
      <c r="G185" s="22" t="s">
        <v>661</v>
      </c>
      <c r="H185" s="10"/>
      <c r="I185" s="10"/>
      <c r="J185" s="10"/>
      <c r="K185" s="10"/>
      <c r="L185" s="10"/>
      <c r="M185" s="10"/>
      <c r="N185" s="10"/>
    </row>
    <row r="186" customFormat="false" ht="15" hidden="false" customHeight="true" outlineLevel="0" collapsed="false">
      <c r="A186" s="10"/>
      <c r="B186" s="10"/>
      <c r="C186" s="10"/>
      <c r="D186" s="10"/>
      <c r="E186" s="10"/>
      <c r="F186" s="10" t="s">
        <v>159</v>
      </c>
      <c r="G186" s="22" t="s">
        <v>662</v>
      </c>
      <c r="H186" s="10"/>
      <c r="I186" s="10"/>
      <c r="J186" s="10"/>
      <c r="K186" s="10"/>
      <c r="L186" s="10"/>
      <c r="M186" s="10"/>
      <c r="N186" s="10"/>
    </row>
    <row r="187" customFormat="false" ht="27.75" hidden="false" customHeight="true" outlineLevel="0" collapsed="false">
      <c r="A187" s="11" t="s">
        <v>663</v>
      </c>
      <c r="B187" s="10" t="s">
        <v>475</v>
      </c>
      <c r="C187" s="10" t="s">
        <v>205</v>
      </c>
      <c r="D187" s="10" t="s">
        <v>664</v>
      </c>
      <c r="E187" s="10" t="s">
        <v>665</v>
      </c>
      <c r="F187" s="10" t="s">
        <v>152</v>
      </c>
      <c r="G187" s="31" t="s">
        <v>666</v>
      </c>
      <c r="H187" s="10" t="s">
        <v>667</v>
      </c>
      <c r="I187" s="10" t="s">
        <v>668</v>
      </c>
      <c r="J187" s="11"/>
      <c r="K187" s="10" t="s">
        <v>105</v>
      </c>
      <c r="L187" s="10" t="s">
        <v>77</v>
      </c>
      <c r="M187" s="10" t="s">
        <v>98</v>
      </c>
      <c r="N187" s="10" t="s">
        <v>285</v>
      </c>
    </row>
    <row r="188" customFormat="false" ht="15" hidden="false" customHeight="true" outlineLevel="0" collapsed="false">
      <c r="A188" s="11"/>
      <c r="B188" s="11"/>
      <c r="C188" s="11"/>
      <c r="D188" s="11"/>
      <c r="E188" s="11"/>
      <c r="F188" s="10" t="s">
        <v>157</v>
      </c>
      <c r="G188" s="22" t="s">
        <v>669</v>
      </c>
      <c r="H188" s="10"/>
      <c r="I188" s="10"/>
      <c r="J188" s="10"/>
      <c r="K188" s="10"/>
      <c r="L188" s="10"/>
      <c r="M188" s="10"/>
      <c r="N188" s="10"/>
    </row>
    <row r="189" customFormat="false" ht="27.75" hidden="false" customHeight="true" outlineLevel="0" collapsed="false">
      <c r="A189" s="10" t="s">
        <v>670</v>
      </c>
      <c r="B189" s="10" t="s">
        <v>475</v>
      </c>
      <c r="C189" s="10" t="s">
        <v>671</v>
      </c>
      <c r="D189" s="10" t="s">
        <v>672</v>
      </c>
      <c r="E189" s="10" t="s">
        <v>673</v>
      </c>
      <c r="F189" s="10" t="s">
        <v>152</v>
      </c>
      <c r="G189" s="22" t="s">
        <v>674</v>
      </c>
      <c r="H189" s="10" t="s">
        <v>375</v>
      </c>
      <c r="I189" s="10" t="s">
        <v>675</v>
      </c>
      <c r="J189" s="11"/>
      <c r="K189" s="10" t="s">
        <v>105</v>
      </c>
      <c r="L189" s="10" t="s">
        <v>76</v>
      </c>
      <c r="M189" s="10" t="s">
        <v>86</v>
      </c>
      <c r="N189" s="10" t="s">
        <v>285</v>
      </c>
    </row>
    <row r="190" customFormat="false" ht="15" hidden="false" customHeight="true" outlineLevel="0" collapsed="false">
      <c r="A190" s="10"/>
      <c r="B190" s="10"/>
      <c r="C190" s="10"/>
      <c r="D190" s="10"/>
      <c r="E190" s="10"/>
      <c r="F190" s="10" t="s">
        <v>157</v>
      </c>
      <c r="G190" s="22" t="s">
        <v>676</v>
      </c>
      <c r="H190" s="10"/>
      <c r="I190" s="10"/>
      <c r="J190" s="10"/>
      <c r="K190" s="10"/>
      <c r="L190" s="10"/>
      <c r="M190" s="10"/>
      <c r="N190" s="10"/>
    </row>
    <row r="191" customFormat="false" ht="15" hidden="false" customHeight="true" outlineLevel="0" collapsed="false">
      <c r="A191" s="10" t="s">
        <v>677</v>
      </c>
      <c r="B191" s="10" t="s">
        <v>475</v>
      </c>
      <c r="C191" s="10" t="s">
        <v>671</v>
      </c>
      <c r="D191" s="10" t="s">
        <v>678</v>
      </c>
      <c r="E191" s="10" t="s">
        <v>679</v>
      </c>
      <c r="F191" s="10" t="s">
        <v>152</v>
      </c>
      <c r="G191" s="22" t="s">
        <v>680</v>
      </c>
      <c r="H191" s="10" t="s">
        <v>681</v>
      </c>
      <c r="I191" s="10" t="s">
        <v>682</v>
      </c>
      <c r="J191" s="11"/>
      <c r="K191" s="10" t="s">
        <v>105</v>
      </c>
      <c r="L191" s="10" t="s">
        <v>76</v>
      </c>
      <c r="M191" s="10" t="s">
        <v>86</v>
      </c>
      <c r="N191" s="10" t="s">
        <v>285</v>
      </c>
    </row>
    <row r="192" customFormat="false" ht="15" hidden="false" customHeight="true" outlineLevel="0" collapsed="false">
      <c r="A192" s="10"/>
      <c r="B192" s="10"/>
      <c r="C192" s="10"/>
      <c r="D192" s="10"/>
      <c r="E192" s="10"/>
      <c r="F192" s="10" t="s">
        <v>157</v>
      </c>
      <c r="G192" s="22" t="s">
        <v>683</v>
      </c>
      <c r="H192" s="10"/>
      <c r="I192" s="10"/>
      <c r="J192" s="10"/>
      <c r="K192" s="10"/>
      <c r="L192" s="10"/>
      <c r="M192" s="10"/>
      <c r="N192" s="10"/>
    </row>
    <row r="193" customFormat="false" ht="15" hidden="false" customHeight="true" outlineLevel="0" collapsed="false">
      <c r="A193" s="10"/>
      <c r="B193" s="10"/>
      <c r="C193" s="10"/>
      <c r="D193" s="10"/>
      <c r="E193" s="10"/>
      <c r="F193" s="10" t="s">
        <v>159</v>
      </c>
      <c r="G193" s="22" t="s">
        <v>684</v>
      </c>
      <c r="H193" s="10"/>
      <c r="I193" s="10"/>
      <c r="J193" s="10"/>
      <c r="K193" s="10"/>
      <c r="L193" s="10"/>
      <c r="M193" s="10"/>
      <c r="N193" s="10"/>
    </row>
    <row r="194" customFormat="false" ht="15" hidden="false" customHeight="true" outlineLevel="0" collapsed="false">
      <c r="A194" s="10" t="s">
        <v>685</v>
      </c>
      <c r="B194" s="10" t="s">
        <v>475</v>
      </c>
      <c r="C194" s="10" t="s">
        <v>671</v>
      </c>
      <c r="D194" s="10" t="s">
        <v>686</v>
      </c>
      <c r="E194" s="10" t="s">
        <v>281</v>
      </c>
      <c r="F194" s="10" t="s">
        <v>152</v>
      </c>
      <c r="G194" s="22" t="s">
        <v>687</v>
      </c>
      <c r="H194" s="10" t="s">
        <v>688</v>
      </c>
      <c r="I194" s="10" t="s">
        <v>689</v>
      </c>
      <c r="J194" s="11"/>
      <c r="K194" s="10" t="s">
        <v>105</v>
      </c>
      <c r="L194" s="10" t="s">
        <v>76</v>
      </c>
      <c r="M194" s="10" t="s">
        <v>83</v>
      </c>
      <c r="N194" s="10" t="s">
        <v>156</v>
      </c>
    </row>
    <row r="195" customFormat="false" ht="15" hidden="false" customHeight="true" outlineLevel="0" collapsed="false">
      <c r="A195" s="10"/>
      <c r="B195" s="10"/>
      <c r="C195" s="10"/>
      <c r="D195" s="10"/>
      <c r="E195" s="10"/>
      <c r="F195" s="10" t="s">
        <v>157</v>
      </c>
      <c r="G195" s="22" t="s">
        <v>690</v>
      </c>
      <c r="H195" s="10"/>
      <c r="I195" s="10"/>
      <c r="J195" s="10"/>
      <c r="K195" s="10"/>
      <c r="L195" s="10"/>
      <c r="M195" s="10"/>
      <c r="N195" s="10"/>
    </row>
    <row r="196" customFormat="false" ht="15" hidden="false" customHeight="true" outlineLevel="0" collapsed="false">
      <c r="A196" s="10"/>
      <c r="B196" s="10"/>
      <c r="C196" s="10"/>
      <c r="D196" s="10"/>
      <c r="E196" s="10"/>
      <c r="F196" s="10" t="s">
        <v>159</v>
      </c>
      <c r="G196" s="22" t="s">
        <v>691</v>
      </c>
      <c r="H196" s="10"/>
      <c r="I196" s="10"/>
      <c r="J196" s="10"/>
      <c r="K196" s="10"/>
      <c r="L196" s="10"/>
      <c r="M196" s="10"/>
      <c r="N196" s="10"/>
    </row>
    <row r="197" customFormat="false" ht="15" hidden="false" customHeight="true" outlineLevel="0" collapsed="false">
      <c r="A197" s="10" t="s">
        <v>692</v>
      </c>
      <c r="B197" s="10" t="s">
        <v>475</v>
      </c>
      <c r="C197" s="10" t="s">
        <v>671</v>
      </c>
      <c r="D197" s="10" t="s">
        <v>693</v>
      </c>
      <c r="E197" s="10" t="s">
        <v>694</v>
      </c>
      <c r="F197" s="10" t="s">
        <v>152</v>
      </c>
      <c r="G197" s="22" t="s">
        <v>695</v>
      </c>
      <c r="H197" s="10" t="s">
        <v>696</v>
      </c>
      <c r="I197" s="10" t="s">
        <v>697</v>
      </c>
      <c r="J197" s="11"/>
      <c r="K197" s="10" t="s">
        <v>107</v>
      </c>
      <c r="L197" s="10" t="s">
        <v>76</v>
      </c>
      <c r="M197" s="10" t="s">
        <v>86</v>
      </c>
      <c r="N197" s="10" t="s">
        <v>285</v>
      </c>
    </row>
    <row r="198" customFormat="false" ht="15" hidden="false" customHeight="true" outlineLevel="0" collapsed="false">
      <c r="A198" s="10"/>
      <c r="B198" s="10"/>
      <c r="C198" s="10"/>
      <c r="D198" s="10"/>
      <c r="E198" s="10"/>
      <c r="F198" s="10" t="s">
        <v>157</v>
      </c>
      <c r="G198" s="22" t="s">
        <v>698</v>
      </c>
      <c r="H198" s="10"/>
      <c r="I198" s="10"/>
      <c r="J198" s="10"/>
      <c r="K198" s="10"/>
      <c r="L198" s="10"/>
      <c r="M198" s="10"/>
      <c r="N198" s="10"/>
    </row>
    <row r="199" customFormat="false" ht="27.75" hidden="false" customHeight="true" outlineLevel="0" collapsed="false">
      <c r="A199" s="10" t="s">
        <v>699</v>
      </c>
      <c r="B199" s="10" t="s">
        <v>475</v>
      </c>
      <c r="C199" s="10" t="s">
        <v>260</v>
      </c>
      <c r="D199" s="10" t="s">
        <v>700</v>
      </c>
      <c r="E199" s="10" t="s">
        <v>701</v>
      </c>
      <c r="F199" s="10" t="s">
        <v>152</v>
      </c>
      <c r="G199" s="22" t="s">
        <v>702</v>
      </c>
      <c r="H199" s="10" t="s">
        <v>703</v>
      </c>
      <c r="I199" s="10" t="s">
        <v>704</v>
      </c>
      <c r="J199" s="11"/>
      <c r="K199" s="10" t="s">
        <v>105</v>
      </c>
      <c r="L199" s="10" t="s">
        <v>76</v>
      </c>
      <c r="M199" s="10" t="s">
        <v>83</v>
      </c>
      <c r="N199" s="10" t="s">
        <v>156</v>
      </c>
    </row>
    <row r="200" customFormat="false" ht="15" hidden="false" customHeight="true" outlineLevel="0" collapsed="false">
      <c r="A200" s="10"/>
      <c r="B200" s="10"/>
      <c r="C200" s="10"/>
      <c r="D200" s="10"/>
      <c r="E200" s="10"/>
      <c r="F200" s="10" t="s">
        <v>157</v>
      </c>
      <c r="G200" s="22" t="s">
        <v>705</v>
      </c>
      <c r="H200" s="10"/>
      <c r="I200" s="10"/>
      <c r="J200" s="10"/>
      <c r="K200" s="10"/>
      <c r="L200" s="10"/>
      <c r="M200" s="10"/>
      <c r="N200" s="10"/>
    </row>
    <row r="201" customFormat="false" ht="15" hidden="false" customHeight="true" outlineLevel="0" collapsed="false">
      <c r="A201" s="10"/>
      <c r="B201" s="10"/>
      <c r="C201" s="10"/>
      <c r="D201" s="10"/>
      <c r="E201" s="10"/>
      <c r="F201" s="10" t="s">
        <v>159</v>
      </c>
      <c r="G201" s="22" t="s">
        <v>706</v>
      </c>
      <c r="H201" s="10"/>
      <c r="I201" s="10"/>
      <c r="J201" s="10"/>
      <c r="K201" s="10"/>
      <c r="L201" s="10"/>
      <c r="M201" s="10"/>
      <c r="N201" s="10"/>
    </row>
    <row r="202" customFormat="false" ht="15" hidden="false" customHeight="true" outlineLevel="0" collapsed="false">
      <c r="A202" s="10" t="s">
        <v>707</v>
      </c>
      <c r="B202" s="10" t="s">
        <v>475</v>
      </c>
      <c r="C202" s="10" t="s">
        <v>260</v>
      </c>
      <c r="D202" s="10" t="s">
        <v>708</v>
      </c>
      <c r="E202" s="10" t="s">
        <v>264</v>
      </c>
      <c r="F202" s="10" t="s">
        <v>152</v>
      </c>
      <c r="G202" s="22" t="s">
        <v>709</v>
      </c>
      <c r="H202" s="10" t="s">
        <v>710</v>
      </c>
      <c r="I202" s="10" t="s">
        <v>711</v>
      </c>
      <c r="J202" s="11"/>
      <c r="K202" s="10" t="s">
        <v>105</v>
      </c>
      <c r="L202" s="10" t="s">
        <v>76</v>
      </c>
      <c r="M202" s="10" t="s">
        <v>94</v>
      </c>
      <c r="N202" s="10" t="s">
        <v>156</v>
      </c>
    </row>
    <row r="203" customFormat="false" ht="15" hidden="false" customHeight="true" outlineLevel="0" collapsed="false">
      <c r="A203" s="10"/>
      <c r="B203" s="10"/>
      <c r="C203" s="10"/>
      <c r="D203" s="10"/>
      <c r="E203" s="10"/>
      <c r="F203" s="10" t="s">
        <v>157</v>
      </c>
      <c r="G203" s="22" t="s">
        <v>712</v>
      </c>
      <c r="H203" s="10"/>
      <c r="I203" s="10"/>
      <c r="J203" s="10"/>
      <c r="K203" s="10"/>
      <c r="L203" s="10"/>
      <c r="M203" s="10"/>
      <c r="N203" s="10"/>
    </row>
    <row r="204" customFormat="false" ht="15" hidden="false" customHeight="true" outlineLevel="0" collapsed="false">
      <c r="A204" s="10"/>
      <c r="B204" s="10"/>
      <c r="C204" s="10"/>
      <c r="D204" s="10"/>
      <c r="E204" s="10"/>
      <c r="F204" s="10" t="s">
        <v>159</v>
      </c>
      <c r="G204" s="22" t="s">
        <v>713</v>
      </c>
      <c r="H204" s="10"/>
      <c r="I204" s="10"/>
      <c r="J204" s="10"/>
      <c r="K204" s="10"/>
      <c r="L204" s="10"/>
      <c r="M204" s="10"/>
      <c r="N204" s="10"/>
    </row>
    <row r="205" customFormat="false" ht="15" hidden="false" customHeight="true" outlineLevel="0" collapsed="false">
      <c r="A205" s="10" t="s">
        <v>714</v>
      </c>
      <c r="B205" s="10" t="s">
        <v>475</v>
      </c>
      <c r="C205" s="10" t="s">
        <v>87</v>
      </c>
      <c r="D205" s="10" t="s">
        <v>715</v>
      </c>
      <c r="E205" s="10" t="s">
        <v>716</v>
      </c>
      <c r="F205" s="10" t="s">
        <v>152</v>
      </c>
      <c r="G205" s="22" t="s">
        <v>717</v>
      </c>
      <c r="H205" s="10" t="s">
        <v>718</v>
      </c>
      <c r="I205" s="10" t="s">
        <v>719</v>
      </c>
      <c r="J205" s="11"/>
      <c r="K205" s="10" t="s">
        <v>105</v>
      </c>
      <c r="L205" s="10" t="s">
        <v>76</v>
      </c>
      <c r="M205" s="10" t="s">
        <v>87</v>
      </c>
      <c r="N205" s="10" t="s">
        <v>156</v>
      </c>
    </row>
    <row r="206" customFormat="false" ht="30" hidden="false" customHeight="true" outlineLevel="0" collapsed="false">
      <c r="A206" s="10"/>
      <c r="B206" s="10"/>
      <c r="C206" s="10"/>
      <c r="D206" s="10"/>
      <c r="E206" s="10"/>
      <c r="F206" s="10" t="s">
        <v>157</v>
      </c>
      <c r="G206" s="22" t="s">
        <v>720</v>
      </c>
      <c r="H206" s="10"/>
      <c r="I206" s="10"/>
      <c r="J206" s="10"/>
      <c r="K206" s="10"/>
      <c r="L206" s="10"/>
      <c r="M206" s="10"/>
      <c r="N206" s="10"/>
    </row>
    <row r="207" customFormat="false" ht="15" hidden="false" customHeight="true" outlineLevel="0" collapsed="false">
      <c r="A207" s="10"/>
      <c r="B207" s="10"/>
      <c r="C207" s="10"/>
      <c r="D207" s="10"/>
      <c r="E207" s="10"/>
      <c r="F207" s="10" t="s">
        <v>159</v>
      </c>
      <c r="G207" s="22" t="s">
        <v>721</v>
      </c>
      <c r="H207" s="10"/>
      <c r="I207" s="10"/>
      <c r="J207" s="10"/>
      <c r="K207" s="10"/>
      <c r="L207" s="10"/>
      <c r="M207" s="10"/>
      <c r="N207" s="10"/>
    </row>
    <row r="208" customFormat="false" ht="27.75" hidden="false" customHeight="true" outlineLevel="0" collapsed="false">
      <c r="A208" s="10" t="s">
        <v>722</v>
      </c>
      <c r="B208" s="10" t="s">
        <v>475</v>
      </c>
      <c r="C208" s="10" t="s">
        <v>306</v>
      </c>
      <c r="D208" s="10" t="s">
        <v>723</v>
      </c>
      <c r="E208" s="10" t="s">
        <v>373</v>
      </c>
      <c r="F208" s="10" t="s">
        <v>152</v>
      </c>
      <c r="G208" s="22" t="s">
        <v>724</v>
      </c>
      <c r="H208" s="11" t="s">
        <v>725</v>
      </c>
      <c r="I208" s="10" t="s">
        <v>726</v>
      </c>
      <c r="J208" s="11"/>
      <c r="K208" s="10" t="s">
        <v>105</v>
      </c>
      <c r="L208" s="10" t="s">
        <v>76</v>
      </c>
      <c r="M208" s="10" t="s">
        <v>98</v>
      </c>
      <c r="N208" s="10" t="s">
        <v>156</v>
      </c>
    </row>
    <row r="209" customFormat="false" ht="15" hidden="false" customHeight="true" outlineLevel="0" collapsed="false">
      <c r="A209" s="10"/>
      <c r="B209" s="10"/>
      <c r="C209" s="10"/>
      <c r="D209" s="10"/>
      <c r="E209" s="10"/>
      <c r="F209" s="10" t="s">
        <v>157</v>
      </c>
      <c r="G209" s="22" t="s">
        <v>727</v>
      </c>
      <c r="H209" s="11"/>
      <c r="I209" s="11"/>
      <c r="J209" s="11"/>
      <c r="K209" s="10"/>
      <c r="L209" s="10"/>
      <c r="M209" s="10"/>
      <c r="N209" s="10"/>
    </row>
    <row r="210" customFormat="false" ht="15" hidden="false" customHeight="true" outlineLevel="0" collapsed="false">
      <c r="A210" s="10"/>
      <c r="B210" s="10"/>
      <c r="C210" s="10"/>
      <c r="D210" s="10"/>
      <c r="E210" s="10"/>
      <c r="F210" s="10" t="s">
        <v>159</v>
      </c>
      <c r="G210" s="22" t="s">
        <v>728</v>
      </c>
      <c r="H210" s="11"/>
      <c r="I210" s="11"/>
      <c r="J210" s="11"/>
      <c r="K210" s="10"/>
      <c r="L210" s="10"/>
      <c r="M210" s="10"/>
      <c r="N210" s="10"/>
    </row>
    <row r="211" customFormat="false" ht="15" hidden="false" customHeight="true" outlineLevel="0" collapsed="false">
      <c r="A211" s="10" t="s">
        <v>729</v>
      </c>
      <c r="B211" s="10" t="s">
        <v>475</v>
      </c>
      <c r="C211" s="10" t="s">
        <v>306</v>
      </c>
      <c r="D211" s="10" t="s">
        <v>730</v>
      </c>
      <c r="E211" s="10" t="s">
        <v>373</v>
      </c>
      <c r="F211" s="10" t="s">
        <v>152</v>
      </c>
      <c r="G211" s="22" t="s">
        <v>731</v>
      </c>
      <c r="H211" s="10" t="s">
        <v>732</v>
      </c>
      <c r="I211" s="10" t="s">
        <v>733</v>
      </c>
      <c r="J211" s="11"/>
      <c r="K211" s="10" t="s">
        <v>106</v>
      </c>
      <c r="L211" s="10" t="s">
        <v>76</v>
      </c>
      <c r="M211" s="10" t="s">
        <v>92</v>
      </c>
      <c r="N211" s="10" t="s">
        <v>285</v>
      </c>
    </row>
    <row r="212" customFormat="false" ht="15" hidden="false" customHeight="true" outlineLevel="0" collapsed="false">
      <c r="A212" s="10"/>
      <c r="B212" s="10"/>
      <c r="C212" s="10"/>
      <c r="D212" s="10"/>
      <c r="E212" s="10"/>
      <c r="F212" s="10" t="s">
        <v>157</v>
      </c>
      <c r="G212" s="22" t="s">
        <v>734</v>
      </c>
      <c r="H212" s="10"/>
      <c r="I212" s="10"/>
      <c r="J212" s="10"/>
      <c r="K212" s="10"/>
      <c r="L212" s="10"/>
      <c r="M212" s="10"/>
      <c r="N212" s="10"/>
    </row>
    <row r="213" customFormat="false" ht="54.75" hidden="false" customHeight="true" outlineLevel="0" collapsed="false">
      <c r="A213" s="10" t="s">
        <v>735</v>
      </c>
      <c r="B213" s="10" t="s">
        <v>475</v>
      </c>
      <c r="C213" s="10" t="s">
        <v>333</v>
      </c>
      <c r="D213" s="10" t="s">
        <v>736</v>
      </c>
      <c r="E213" s="10" t="s">
        <v>737</v>
      </c>
      <c r="F213" s="10" t="s">
        <v>152</v>
      </c>
      <c r="G213" s="22" t="s">
        <v>738</v>
      </c>
      <c r="H213" s="10" t="s">
        <v>739</v>
      </c>
      <c r="I213" s="10" t="s">
        <v>740</v>
      </c>
      <c r="J213" s="10"/>
      <c r="K213" s="10" t="s">
        <v>106</v>
      </c>
      <c r="L213" s="10" t="s">
        <v>76</v>
      </c>
      <c r="M213" s="10" t="s">
        <v>85</v>
      </c>
      <c r="N213" s="10" t="s">
        <v>156</v>
      </c>
    </row>
    <row r="214" customFormat="false" ht="30" hidden="false" customHeight="true" outlineLevel="0" collapsed="false">
      <c r="A214" s="10"/>
      <c r="B214" s="10"/>
      <c r="C214" s="10"/>
      <c r="D214" s="10"/>
      <c r="E214" s="10"/>
      <c r="F214" s="10" t="s">
        <v>157</v>
      </c>
      <c r="G214" s="22" t="s">
        <v>741</v>
      </c>
      <c r="H214" s="10"/>
      <c r="I214" s="10"/>
      <c r="J214" s="10"/>
      <c r="K214" s="10"/>
      <c r="L214" s="10"/>
      <c r="M214" s="10"/>
      <c r="N214" s="10"/>
    </row>
    <row r="215" customFormat="false" ht="30" hidden="false" customHeight="true" outlineLevel="0" collapsed="false">
      <c r="A215" s="10"/>
      <c r="B215" s="10"/>
      <c r="C215" s="10"/>
      <c r="D215" s="10"/>
      <c r="E215" s="10"/>
      <c r="F215" s="10" t="s">
        <v>159</v>
      </c>
      <c r="G215" s="22" t="s">
        <v>742</v>
      </c>
      <c r="H215" s="10"/>
      <c r="I215" s="10"/>
      <c r="J215" s="10"/>
      <c r="K215" s="10"/>
      <c r="L215" s="10"/>
      <c r="M215" s="10"/>
      <c r="N215" s="10"/>
    </row>
    <row r="216" customFormat="false" ht="30" hidden="false" customHeight="true" outlineLevel="0" collapsed="false">
      <c r="A216" s="10"/>
      <c r="B216" s="10"/>
      <c r="C216" s="10"/>
      <c r="D216" s="10"/>
      <c r="E216" s="10"/>
      <c r="F216" s="10" t="s">
        <v>171</v>
      </c>
      <c r="G216" s="22" t="s">
        <v>743</v>
      </c>
      <c r="H216" s="10"/>
      <c r="I216" s="10"/>
      <c r="J216" s="10"/>
      <c r="K216" s="10"/>
      <c r="L216" s="10"/>
      <c r="M216" s="10"/>
      <c r="N216" s="10"/>
    </row>
    <row r="217" customFormat="false" ht="27.75" hidden="false" customHeight="true" outlineLevel="0" collapsed="false">
      <c r="A217" s="10" t="s">
        <v>744</v>
      </c>
      <c r="B217" s="10" t="s">
        <v>475</v>
      </c>
      <c r="C217" s="10" t="s">
        <v>745</v>
      </c>
      <c r="D217" s="10" t="s">
        <v>746</v>
      </c>
      <c r="E217" s="10" t="s">
        <v>747</v>
      </c>
      <c r="F217" s="10" t="s">
        <v>152</v>
      </c>
      <c r="G217" s="22" t="s">
        <v>748</v>
      </c>
      <c r="H217" s="10" t="s">
        <v>749</v>
      </c>
      <c r="I217" s="10" t="s">
        <v>750</v>
      </c>
      <c r="J217" s="10"/>
      <c r="K217" s="10" t="s">
        <v>105</v>
      </c>
      <c r="L217" s="10" t="s">
        <v>77</v>
      </c>
      <c r="M217" s="10" t="s">
        <v>98</v>
      </c>
      <c r="N217" s="10" t="s">
        <v>285</v>
      </c>
    </row>
    <row r="218" customFormat="false" ht="15" hidden="false" customHeight="true" outlineLevel="0" collapsed="false">
      <c r="A218" s="10"/>
      <c r="B218" s="10"/>
      <c r="C218" s="10"/>
      <c r="D218" s="10"/>
      <c r="E218" s="10"/>
      <c r="F218" s="10" t="s">
        <v>157</v>
      </c>
      <c r="G218" s="22" t="s">
        <v>751</v>
      </c>
      <c r="H218" s="10"/>
      <c r="I218" s="10"/>
      <c r="J218" s="10"/>
      <c r="K218" s="10"/>
      <c r="L218" s="10"/>
      <c r="M218" s="10"/>
      <c r="N218" s="10"/>
    </row>
    <row r="219" customFormat="false" ht="15" hidden="false" customHeight="true" outlineLevel="0" collapsed="false">
      <c r="A219" s="10"/>
      <c r="B219" s="10"/>
      <c r="C219" s="10"/>
      <c r="D219" s="10"/>
      <c r="E219" s="10"/>
      <c r="F219" s="10" t="s">
        <v>159</v>
      </c>
      <c r="G219" s="22" t="s">
        <v>752</v>
      </c>
      <c r="H219" s="10"/>
      <c r="I219" s="10"/>
      <c r="J219" s="10"/>
      <c r="K219" s="10"/>
      <c r="L219" s="10"/>
      <c r="M219" s="10"/>
      <c r="N219" s="10"/>
    </row>
    <row r="220" customFormat="false" ht="15" hidden="false" customHeight="true" outlineLevel="0" collapsed="false">
      <c r="A220" s="10"/>
      <c r="B220" s="10"/>
      <c r="C220" s="10"/>
      <c r="D220" s="10"/>
      <c r="E220" s="10"/>
      <c r="F220" s="10" t="s">
        <v>171</v>
      </c>
      <c r="G220" s="22" t="s">
        <v>753</v>
      </c>
      <c r="H220" s="10"/>
      <c r="I220" s="10"/>
      <c r="J220" s="10"/>
      <c r="K220" s="10"/>
      <c r="L220" s="10"/>
      <c r="M220" s="10"/>
      <c r="N220" s="10"/>
    </row>
    <row r="221" customFormat="false" ht="52.5" hidden="false" customHeight="true" outlineLevel="0" collapsed="false">
      <c r="A221" s="10" t="s">
        <v>754</v>
      </c>
      <c r="B221" s="10" t="s">
        <v>475</v>
      </c>
      <c r="C221" s="10" t="s">
        <v>389</v>
      </c>
      <c r="D221" s="10" t="s">
        <v>755</v>
      </c>
      <c r="E221" s="10" t="s">
        <v>281</v>
      </c>
      <c r="F221" s="10" t="s">
        <v>152</v>
      </c>
      <c r="G221" s="22" t="s">
        <v>756</v>
      </c>
      <c r="H221" s="10" t="s">
        <v>757</v>
      </c>
      <c r="I221" s="10" t="s">
        <v>758</v>
      </c>
      <c r="J221" s="10"/>
      <c r="K221" s="10" t="s">
        <v>105</v>
      </c>
      <c r="L221" s="10" t="s">
        <v>77</v>
      </c>
      <c r="M221" s="10" t="s">
        <v>102</v>
      </c>
      <c r="N221" s="10" t="s">
        <v>285</v>
      </c>
    </row>
    <row r="222" customFormat="false" ht="50.25" hidden="false" customHeight="true" outlineLevel="0" collapsed="false">
      <c r="A222" s="10"/>
      <c r="B222" s="10"/>
      <c r="C222" s="10"/>
      <c r="D222" s="10"/>
      <c r="E222" s="10"/>
      <c r="F222" s="10" t="s">
        <v>157</v>
      </c>
      <c r="G222" s="22" t="s">
        <v>759</v>
      </c>
      <c r="H222" s="10"/>
      <c r="I222" s="10"/>
      <c r="J222" s="10"/>
      <c r="K222" s="10"/>
      <c r="L222" s="10"/>
      <c r="M222" s="10"/>
      <c r="N222" s="10"/>
    </row>
    <row r="223" customFormat="false" ht="61.5" hidden="false" customHeight="true" outlineLevel="0" collapsed="false">
      <c r="A223" s="10"/>
      <c r="B223" s="10"/>
      <c r="C223" s="10"/>
      <c r="D223" s="10"/>
      <c r="E223" s="10"/>
      <c r="F223" s="10" t="s">
        <v>159</v>
      </c>
      <c r="G223" s="22" t="s">
        <v>760</v>
      </c>
      <c r="H223" s="10"/>
      <c r="I223" s="10"/>
      <c r="J223" s="10"/>
      <c r="K223" s="10"/>
      <c r="L223" s="10"/>
      <c r="M223" s="10"/>
      <c r="N223" s="10"/>
    </row>
    <row r="224" customFormat="false" ht="89.25" hidden="false" customHeight="true" outlineLevel="0" collapsed="false">
      <c r="A224" s="10"/>
      <c r="B224" s="10"/>
      <c r="C224" s="10"/>
      <c r="D224" s="10"/>
      <c r="E224" s="10"/>
      <c r="F224" s="10" t="s">
        <v>171</v>
      </c>
      <c r="G224" s="22" t="s">
        <v>761</v>
      </c>
      <c r="H224" s="10"/>
      <c r="I224" s="10"/>
      <c r="J224" s="10"/>
      <c r="K224" s="10"/>
      <c r="L224" s="10"/>
      <c r="M224" s="10"/>
      <c r="N224" s="10"/>
    </row>
    <row r="225" customFormat="false" ht="15" hidden="false" customHeight="true" outlineLevel="0" collapsed="false">
      <c r="A225" s="10" t="s">
        <v>762</v>
      </c>
      <c r="B225" s="10" t="s">
        <v>475</v>
      </c>
      <c r="C225" s="10" t="s">
        <v>389</v>
      </c>
      <c r="D225" s="10" t="s">
        <v>763</v>
      </c>
      <c r="E225" s="10" t="s">
        <v>764</v>
      </c>
      <c r="F225" s="10" t="s">
        <v>152</v>
      </c>
      <c r="G225" s="22" t="s">
        <v>765</v>
      </c>
      <c r="H225" s="10" t="s">
        <v>766</v>
      </c>
      <c r="I225" s="10" t="s">
        <v>767</v>
      </c>
      <c r="J225" s="10"/>
      <c r="K225" s="10" t="s">
        <v>106</v>
      </c>
      <c r="L225" s="10" t="s">
        <v>76</v>
      </c>
      <c r="M225" s="10" t="s">
        <v>102</v>
      </c>
      <c r="N225" s="10" t="s">
        <v>285</v>
      </c>
    </row>
    <row r="226" customFormat="false" ht="15" hidden="false" customHeight="true" outlineLevel="0" collapsed="false">
      <c r="A226" s="10"/>
      <c r="B226" s="10"/>
      <c r="C226" s="10"/>
      <c r="D226" s="10"/>
      <c r="E226" s="10"/>
      <c r="F226" s="10" t="s">
        <v>157</v>
      </c>
      <c r="G226" s="22" t="s">
        <v>768</v>
      </c>
      <c r="H226" s="10"/>
      <c r="I226" s="10"/>
      <c r="J226" s="10"/>
      <c r="K226" s="10"/>
      <c r="L226" s="10"/>
      <c r="M226" s="10"/>
      <c r="N226" s="10"/>
    </row>
    <row r="227" customFormat="false" ht="15" hidden="false" customHeight="true" outlineLevel="0" collapsed="false">
      <c r="A227" s="10"/>
      <c r="B227" s="10"/>
      <c r="C227" s="10"/>
      <c r="D227" s="10"/>
      <c r="E227" s="10"/>
      <c r="F227" s="10" t="s">
        <v>159</v>
      </c>
      <c r="G227" s="22" t="s">
        <v>769</v>
      </c>
      <c r="H227" s="10"/>
      <c r="I227" s="10"/>
      <c r="J227" s="10"/>
      <c r="K227" s="10"/>
      <c r="L227" s="10"/>
      <c r="M227" s="10"/>
      <c r="N227" s="10"/>
    </row>
    <row r="228" customFormat="false" ht="15" hidden="false" customHeight="true" outlineLevel="0" collapsed="false">
      <c r="A228" s="10" t="s">
        <v>770</v>
      </c>
      <c r="B228" s="10" t="s">
        <v>475</v>
      </c>
      <c r="C228" s="10" t="s">
        <v>389</v>
      </c>
      <c r="D228" s="10" t="s">
        <v>771</v>
      </c>
      <c r="E228" s="10" t="s">
        <v>281</v>
      </c>
      <c r="F228" s="10" t="s">
        <v>152</v>
      </c>
      <c r="G228" s="22" t="s">
        <v>772</v>
      </c>
      <c r="H228" s="10" t="s">
        <v>773</v>
      </c>
      <c r="I228" s="10" t="s">
        <v>774</v>
      </c>
      <c r="J228" s="10"/>
      <c r="K228" s="10" t="s">
        <v>106</v>
      </c>
      <c r="L228" s="10" t="s">
        <v>76</v>
      </c>
      <c r="M228" s="10" t="s">
        <v>86</v>
      </c>
      <c r="N228" s="10" t="s">
        <v>285</v>
      </c>
    </row>
    <row r="229" customFormat="false" ht="15" hidden="false" customHeight="true" outlineLevel="0" collapsed="false">
      <c r="A229" s="10"/>
      <c r="B229" s="10"/>
      <c r="C229" s="10"/>
      <c r="D229" s="10"/>
      <c r="E229" s="10"/>
      <c r="F229" s="10" t="s">
        <v>157</v>
      </c>
      <c r="G229" s="22" t="s">
        <v>775</v>
      </c>
      <c r="H229" s="10"/>
      <c r="I229" s="10"/>
      <c r="J229" s="10"/>
      <c r="K229" s="10"/>
      <c r="L229" s="10"/>
      <c r="M229" s="10"/>
      <c r="N229" s="10"/>
    </row>
    <row r="230" customFormat="false" ht="15" hidden="false" customHeight="true" outlineLevel="0" collapsed="false">
      <c r="A230" s="10"/>
      <c r="B230" s="10"/>
      <c r="C230" s="10"/>
      <c r="D230" s="10"/>
      <c r="E230" s="10"/>
      <c r="F230" s="10" t="s">
        <v>159</v>
      </c>
      <c r="G230" s="22" t="s">
        <v>776</v>
      </c>
      <c r="H230" s="10"/>
      <c r="I230" s="10"/>
      <c r="J230" s="10"/>
      <c r="K230" s="10"/>
      <c r="L230" s="10"/>
      <c r="M230" s="10"/>
      <c r="N230" s="10"/>
    </row>
    <row r="231" customFormat="false" ht="15" hidden="false" customHeight="true" outlineLevel="0" collapsed="false">
      <c r="A231" s="10" t="s">
        <v>777</v>
      </c>
      <c r="B231" s="10" t="s">
        <v>475</v>
      </c>
      <c r="C231" s="10" t="s">
        <v>389</v>
      </c>
      <c r="D231" s="10" t="s">
        <v>778</v>
      </c>
      <c r="E231" s="10" t="s">
        <v>281</v>
      </c>
      <c r="F231" s="10" t="s">
        <v>152</v>
      </c>
      <c r="G231" s="22" t="s">
        <v>779</v>
      </c>
      <c r="H231" s="10" t="s">
        <v>773</v>
      </c>
      <c r="I231" s="10" t="s">
        <v>780</v>
      </c>
      <c r="J231" s="10"/>
      <c r="K231" s="10" t="s">
        <v>106</v>
      </c>
      <c r="L231" s="10" t="s">
        <v>76</v>
      </c>
      <c r="M231" s="10" t="s">
        <v>82</v>
      </c>
      <c r="N231" s="10" t="s">
        <v>285</v>
      </c>
    </row>
    <row r="232" customFormat="false" ht="15" hidden="false" customHeight="true" outlineLevel="0" collapsed="false">
      <c r="A232" s="10"/>
      <c r="B232" s="10"/>
      <c r="C232" s="10"/>
      <c r="D232" s="10"/>
      <c r="E232" s="10"/>
      <c r="F232" s="10" t="s">
        <v>157</v>
      </c>
      <c r="G232" s="22" t="s">
        <v>781</v>
      </c>
      <c r="H232" s="10"/>
      <c r="I232" s="10"/>
      <c r="J232" s="10"/>
      <c r="K232" s="10"/>
      <c r="L232" s="10"/>
      <c r="M232" s="10"/>
      <c r="N232" s="10"/>
    </row>
    <row r="233" customFormat="false" ht="15" hidden="false" customHeight="true" outlineLevel="0" collapsed="false">
      <c r="A233" s="10"/>
      <c r="B233" s="10"/>
      <c r="C233" s="10"/>
      <c r="D233" s="10"/>
      <c r="E233" s="10"/>
      <c r="F233" s="10" t="s">
        <v>159</v>
      </c>
      <c r="G233" s="22" t="s">
        <v>782</v>
      </c>
      <c r="H233" s="10"/>
      <c r="I233" s="10"/>
      <c r="J233" s="10"/>
      <c r="K233" s="10"/>
      <c r="L233" s="10"/>
      <c r="M233" s="10"/>
      <c r="N233" s="10"/>
    </row>
    <row r="234" customFormat="false" ht="27.75" hidden="false" customHeight="true" outlineLevel="0" collapsed="false">
      <c r="A234" s="10" t="s">
        <v>783</v>
      </c>
      <c r="B234" s="10" t="s">
        <v>475</v>
      </c>
      <c r="C234" s="10" t="s">
        <v>361</v>
      </c>
      <c r="D234" s="10" t="s">
        <v>784</v>
      </c>
      <c r="E234" s="10" t="s">
        <v>785</v>
      </c>
      <c r="F234" s="10" t="s">
        <v>152</v>
      </c>
      <c r="G234" s="22" t="s">
        <v>786</v>
      </c>
      <c r="H234" s="10" t="s">
        <v>787</v>
      </c>
      <c r="I234" s="10" t="s">
        <v>788</v>
      </c>
      <c r="J234" s="11"/>
      <c r="K234" s="10" t="s">
        <v>105</v>
      </c>
      <c r="L234" s="10" t="s">
        <v>76</v>
      </c>
      <c r="M234" s="10" t="s">
        <v>86</v>
      </c>
      <c r="N234" s="10" t="s">
        <v>285</v>
      </c>
    </row>
    <row r="235" customFormat="false" ht="15" hidden="false" customHeight="true" outlineLevel="0" collapsed="false">
      <c r="A235" s="10"/>
      <c r="B235" s="10"/>
      <c r="C235" s="10"/>
      <c r="D235" s="10"/>
      <c r="E235" s="10"/>
      <c r="F235" s="10" t="s">
        <v>157</v>
      </c>
      <c r="G235" s="22" t="s">
        <v>789</v>
      </c>
      <c r="H235" s="10"/>
      <c r="I235" s="10"/>
      <c r="J235" s="10"/>
      <c r="K235" s="10"/>
      <c r="L235" s="10"/>
      <c r="M235" s="10"/>
      <c r="N235" s="10"/>
    </row>
    <row r="236" customFormat="false" ht="15" hidden="false" customHeight="true" outlineLevel="0" collapsed="false">
      <c r="A236" s="10" t="s">
        <v>790</v>
      </c>
      <c r="B236" s="10" t="s">
        <v>475</v>
      </c>
      <c r="C236" s="10" t="s">
        <v>353</v>
      </c>
      <c r="D236" s="10" t="s">
        <v>791</v>
      </c>
      <c r="E236" s="10" t="s">
        <v>792</v>
      </c>
      <c r="F236" s="10" t="s">
        <v>152</v>
      </c>
      <c r="G236" s="22" t="s">
        <v>793</v>
      </c>
      <c r="H236" s="10" t="s">
        <v>794</v>
      </c>
      <c r="I236" s="10" t="s">
        <v>795</v>
      </c>
      <c r="J236" s="10"/>
      <c r="K236" s="10" t="s">
        <v>106</v>
      </c>
      <c r="L236" s="10" t="s">
        <v>76</v>
      </c>
      <c r="M236" s="10" t="s">
        <v>82</v>
      </c>
      <c r="N236" s="10" t="s">
        <v>285</v>
      </c>
    </row>
    <row r="237" customFormat="false" ht="15" hidden="false" customHeight="true" outlineLevel="0" collapsed="false">
      <c r="A237" s="10"/>
      <c r="B237" s="10"/>
      <c r="C237" s="10"/>
      <c r="D237" s="10"/>
      <c r="E237" s="10"/>
      <c r="F237" s="10" t="s">
        <v>157</v>
      </c>
      <c r="G237" s="22" t="s">
        <v>796</v>
      </c>
      <c r="H237" s="10"/>
      <c r="I237" s="10"/>
      <c r="J237" s="10"/>
      <c r="K237" s="10"/>
      <c r="L237" s="10"/>
      <c r="M237" s="10"/>
      <c r="N237" s="10"/>
    </row>
    <row r="238" customFormat="false" ht="15" hidden="false" customHeight="true" outlineLevel="0" collapsed="false">
      <c r="A238" s="10"/>
      <c r="B238" s="10"/>
      <c r="C238" s="10"/>
      <c r="D238" s="10"/>
      <c r="E238" s="10"/>
      <c r="F238" s="10" t="s">
        <v>159</v>
      </c>
      <c r="G238" s="22" t="s">
        <v>797</v>
      </c>
      <c r="H238" s="10"/>
      <c r="I238" s="10"/>
      <c r="J238" s="10"/>
      <c r="K238" s="10"/>
      <c r="L238" s="10"/>
      <c r="M238" s="10"/>
      <c r="N238" s="10"/>
    </row>
    <row r="239" customFormat="false" ht="15" hidden="false" customHeight="true" outlineLevel="0" collapsed="false">
      <c r="A239" s="10" t="s">
        <v>798</v>
      </c>
      <c r="B239" s="10" t="s">
        <v>475</v>
      </c>
      <c r="C239" s="10" t="s">
        <v>96</v>
      </c>
      <c r="D239" s="10" t="s">
        <v>799</v>
      </c>
      <c r="E239" s="10" t="s">
        <v>800</v>
      </c>
      <c r="F239" s="10" t="s">
        <v>152</v>
      </c>
      <c r="G239" s="22" t="s">
        <v>801</v>
      </c>
      <c r="H239" s="10" t="s">
        <v>802</v>
      </c>
      <c r="I239" s="10" t="s">
        <v>803</v>
      </c>
      <c r="J239" s="10"/>
      <c r="K239" s="10" t="s">
        <v>105</v>
      </c>
      <c r="L239" s="10" t="s">
        <v>77</v>
      </c>
      <c r="M239" s="10" t="s">
        <v>96</v>
      </c>
      <c r="N239" s="10" t="s">
        <v>156</v>
      </c>
    </row>
    <row r="240" customFormat="false" ht="15" hidden="false" customHeight="true" outlineLevel="0" collapsed="false">
      <c r="A240" s="10"/>
      <c r="B240" s="10"/>
      <c r="C240" s="10"/>
      <c r="D240" s="10"/>
      <c r="E240" s="10"/>
      <c r="F240" s="10" t="s">
        <v>157</v>
      </c>
      <c r="G240" s="22" t="s">
        <v>804</v>
      </c>
      <c r="H240" s="10"/>
      <c r="I240" s="10"/>
      <c r="J240" s="10"/>
      <c r="K240" s="10"/>
      <c r="L240" s="10"/>
      <c r="M240" s="10"/>
      <c r="N240" s="10"/>
    </row>
    <row r="241" customFormat="false" ht="15" hidden="false" customHeight="true" outlineLevel="0" collapsed="false">
      <c r="A241" s="10" t="s">
        <v>805</v>
      </c>
      <c r="B241" s="10" t="s">
        <v>475</v>
      </c>
      <c r="C241" s="10" t="s">
        <v>806</v>
      </c>
      <c r="D241" s="10" t="s">
        <v>807</v>
      </c>
      <c r="E241" s="10" t="s">
        <v>808</v>
      </c>
      <c r="F241" s="10" t="s">
        <v>152</v>
      </c>
      <c r="G241" s="22" t="s">
        <v>809</v>
      </c>
      <c r="H241" s="10" t="s">
        <v>810</v>
      </c>
      <c r="I241" s="10" t="s">
        <v>811</v>
      </c>
      <c r="J241" s="11"/>
      <c r="K241" s="10" t="s">
        <v>105</v>
      </c>
      <c r="L241" s="10" t="s">
        <v>76</v>
      </c>
      <c r="M241" s="10" t="s">
        <v>100</v>
      </c>
      <c r="N241" s="10" t="s">
        <v>156</v>
      </c>
    </row>
    <row r="242" customFormat="false" ht="15" hidden="false" customHeight="true" outlineLevel="0" collapsed="false">
      <c r="A242" s="10"/>
      <c r="B242" s="10"/>
      <c r="C242" s="10"/>
      <c r="D242" s="10"/>
      <c r="E242" s="10"/>
      <c r="F242" s="10" t="s">
        <v>157</v>
      </c>
      <c r="G242" s="22" t="s">
        <v>812</v>
      </c>
      <c r="H242" s="10"/>
      <c r="I242" s="10"/>
      <c r="J242" s="10"/>
      <c r="K242" s="10"/>
      <c r="L242" s="10"/>
      <c r="M242" s="10"/>
      <c r="N242" s="10"/>
    </row>
    <row r="243" customFormat="false" ht="15" hidden="false" customHeight="true" outlineLevel="0" collapsed="false">
      <c r="A243" s="10"/>
      <c r="B243" s="10"/>
      <c r="C243" s="10"/>
      <c r="D243" s="10"/>
      <c r="E243" s="10"/>
      <c r="F243" s="10" t="s">
        <v>159</v>
      </c>
      <c r="G243" s="22" t="s">
        <v>813</v>
      </c>
      <c r="H243" s="10"/>
      <c r="I243" s="10"/>
      <c r="J243" s="10"/>
      <c r="K243" s="10"/>
      <c r="L243" s="10"/>
      <c r="M243" s="10"/>
      <c r="N243" s="10"/>
    </row>
    <row r="244" customFormat="false" ht="27.75" hidden="false" customHeight="true" outlineLevel="0" collapsed="false">
      <c r="A244" s="10" t="s">
        <v>814</v>
      </c>
      <c r="B244" s="10" t="s">
        <v>475</v>
      </c>
      <c r="C244" s="10" t="s">
        <v>95</v>
      </c>
      <c r="D244" s="10" t="s">
        <v>815</v>
      </c>
      <c r="E244" s="10" t="s">
        <v>816</v>
      </c>
      <c r="F244" s="10" t="s">
        <v>152</v>
      </c>
      <c r="G244" s="22" t="s">
        <v>817</v>
      </c>
      <c r="H244" s="10" t="s">
        <v>818</v>
      </c>
      <c r="I244" s="10" t="s">
        <v>819</v>
      </c>
      <c r="J244" s="11"/>
      <c r="K244" s="10" t="s">
        <v>106</v>
      </c>
      <c r="L244" s="10" t="s">
        <v>328</v>
      </c>
      <c r="M244" s="10" t="s">
        <v>95</v>
      </c>
      <c r="N244" s="10" t="s">
        <v>156</v>
      </c>
    </row>
    <row r="245" customFormat="false" ht="15" hidden="false" customHeight="true" outlineLevel="0" collapsed="false">
      <c r="A245" s="10"/>
      <c r="B245" s="10"/>
      <c r="C245" s="10"/>
      <c r="D245" s="10"/>
      <c r="E245" s="10"/>
      <c r="F245" s="10" t="s">
        <v>157</v>
      </c>
      <c r="G245" s="22" t="s">
        <v>820</v>
      </c>
      <c r="H245" s="10"/>
      <c r="I245" s="10"/>
      <c r="J245" s="10"/>
      <c r="K245" s="10"/>
      <c r="L245" s="10"/>
      <c r="M245" s="10"/>
      <c r="N245" s="10"/>
    </row>
    <row r="246" customFormat="false" ht="15" hidden="false" customHeight="true" outlineLevel="0" collapsed="false">
      <c r="A246" s="10"/>
      <c r="B246" s="10"/>
      <c r="C246" s="10"/>
      <c r="D246" s="10"/>
      <c r="E246" s="10"/>
      <c r="F246" s="10" t="s">
        <v>159</v>
      </c>
      <c r="G246" s="22" t="s">
        <v>821</v>
      </c>
      <c r="H246" s="10"/>
      <c r="I246" s="10"/>
      <c r="J246" s="10"/>
      <c r="K246" s="10"/>
      <c r="L246" s="10"/>
      <c r="M246" s="10"/>
      <c r="N246" s="10"/>
    </row>
    <row r="247" customFormat="false" ht="15" hidden="false" customHeight="true" outlineLevel="0" collapsed="false">
      <c r="A247" s="10" t="s">
        <v>822</v>
      </c>
      <c r="B247" s="10" t="s">
        <v>475</v>
      </c>
      <c r="C247" s="10" t="s">
        <v>81</v>
      </c>
      <c r="D247" s="10" t="s">
        <v>823</v>
      </c>
      <c r="E247" s="10" t="s">
        <v>285</v>
      </c>
      <c r="F247" s="10" t="s">
        <v>152</v>
      </c>
      <c r="G247" s="22" t="s">
        <v>824</v>
      </c>
      <c r="H247" s="10" t="s">
        <v>825</v>
      </c>
      <c r="I247" s="10" t="s">
        <v>826</v>
      </c>
      <c r="J247" s="11"/>
      <c r="K247" s="10" t="s">
        <v>106</v>
      </c>
      <c r="L247" s="10" t="s">
        <v>76</v>
      </c>
      <c r="M247" s="10" t="s">
        <v>81</v>
      </c>
      <c r="N247" s="10" t="s">
        <v>285</v>
      </c>
    </row>
    <row r="248" customFormat="false" ht="15" hidden="false" customHeight="true" outlineLevel="0" collapsed="false">
      <c r="A248" s="10"/>
      <c r="B248" s="10"/>
      <c r="C248" s="10"/>
      <c r="D248" s="10"/>
      <c r="E248" s="10"/>
      <c r="F248" s="10" t="s">
        <v>157</v>
      </c>
      <c r="G248" s="22" t="s">
        <v>827</v>
      </c>
      <c r="H248" s="10"/>
      <c r="I248" s="10"/>
      <c r="J248" s="10"/>
      <c r="K248" s="10"/>
      <c r="L248" s="10"/>
      <c r="M248" s="10"/>
      <c r="N248" s="10"/>
    </row>
    <row r="249" customFormat="false" ht="15" hidden="false" customHeight="true" outlineLevel="0" collapsed="false">
      <c r="A249" s="10"/>
      <c r="B249" s="10"/>
      <c r="C249" s="10"/>
      <c r="D249" s="10"/>
      <c r="E249" s="10"/>
      <c r="F249" s="10" t="s">
        <v>159</v>
      </c>
      <c r="G249" s="22" t="s">
        <v>828</v>
      </c>
      <c r="H249" s="10"/>
      <c r="I249" s="10"/>
      <c r="J249" s="10"/>
      <c r="K249" s="10"/>
      <c r="L249" s="10"/>
      <c r="M249" s="10"/>
      <c r="N249" s="10"/>
    </row>
    <row r="250" customFormat="false" ht="15" hidden="false" customHeight="true" outlineLevel="0" collapsed="false">
      <c r="A250" s="10"/>
      <c r="B250" s="10"/>
      <c r="C250" s="10"/>
      <c r="D250" s="10"/>
      <c r="E250" s="10"/>
      <c r="F250" s="10" t="s">
        <v>171</v>
      </c>
      <c r="G250" s="22" t="s">
        <v>829</v>
      </c>
      <c r="H250" s="10"/>
      <c r="I250" s="10"/>
      <c r="J250" s="10"/>
      <c r="K250" s="10"/>
      <c r="L250" s="10"/>
      <c r="M250" s="10"/>
      <c r="N250" s="10"/>
    </row>
    <row r="251" customFormat="false" ht="15" hidden="false" customHeight="true" outlineLevel="0" collapsed="false">
      <c r="A251" s="10" t="s">
        <v>830</v>
      </c>
      <c r="B251" s="10" t="s">
        <v>475</v>
      </c>
      <c r="C251" s="10" t="s">
        <v>831</v>
      </c>
      <c r="D251" s="10" t="s">
        <v>832</v>
      </c>
      <c r="E251" s="10" t="s">
        <v>800</v>
      </c>
      <c r="F251" s="10" t="s">
        <v>152</v>
      </c>
      <c r="G251" s="22" t="s">
        <v>833</v>
      </c>
      <c r="H251" s="10" t="s">
        <v>487</v>
      </c>
      <c r="I251" s="10" t="s">
        <v>834</v>
      </c>
      <c r="J251" s="11"/>
      <c r="K251" s="10" t="s">
        <v>106</v>
      </c>
      <c r="L251" s="10" t="s">
        <v>76</v>
      </c>
      <c r="M251" s="10" t="s">
        <v>89</v>
      </c>
      <c r="N251" s="10" t="s">
        <v>285</v>
      </c>
    </row>
    <row r="252" customFormat="false" ht="15" hidden="false" customHeight="true" outlineLevel="0" collapsed="false">
      <c r="A252" s="10"/>
      <c r="B252" s="10"/>
      <c r="C252" s="10"/>
      <c r="D252" s="10"/>
      <c r="E252" s="10"/>
      <c r="F252" s="10" t="s">
        <v>157</v>
      </c>
      <c r="G252" s="22" t="s">
        <v>835</v>
      </c>
      <c r="H252" s="10"/>
      <c r="I252" s="10"/>
      <c r="J252" s="10"/>
      <c r="K252" s="10"/>
      <c r="L252" s="10"/>
      <c r="M252" s="10"/>
      <c r="N252" s="10"/>
    </row>
    <row r="253" customFormat="false" ht="15" hidden="false" customHeight="true" outlineLevel="0" collapsed="false">
      <c r="A253" s="10"/>
      <c r="B253" s="10"/>
      <c r="C253" s="10"/>
      <c r="D253" s="10"/>
      <c r="E253" s="10"/>
      <c r="F253" s="10" t="s">
        <v>159</v>
      </c>
      <c r="G253" s="22" t="s">
        <v>836</v>
      </c>
      <c r="H253" s="10"/>
      <c r="I253" s="10"/>
      <c r="J253" s="10"/>
      <c r="K253" s="10"/>
      <c r="L253" s="10"/>
      <c r="M253" s="10"/>
      <c r="N253" s="10"/>
    </row>
    <row r="254" customFormat="false" ht="15" hidden="false" customHeight="true" outlineLevel="0" collapsed="false">
      <c r="A254" s="10" t="s">
        <v>837</v>
      </c>
      <c r="B254" s="10" t="s">
        <v>475</v>
      </c>
      <c r="C254" s="10" t="s">
        <v>831</v>
      </c>
      <c r="D254" s="10" t="s">
        <v>838</v>
      </c>
      <c r="E254" s="10" t="s">
        <v>839</v>
      </c>
      <c r="F254" s="10" t="s">
        <v>152</v>
      </c>
      <c r="G254" s="22" t="s">
        <v>840</v>
      </c>
      <c r="H254" s="10" t="s">
        <v>841</v>
      </c>
      <c r="I254" s="10" t="s">
        <v>842</v>
      </c>
      <c r="J254" s="11"/>
      <c r="K254" s="10" t="s">
        <v>106</v>
      </c>
      <c r="L254" s="10" t="s">
        <v>76</v>
      </c>
      <c r="M254" s="10" t="s">
        <v>98</v>
      </c>
      <c r="N254" s="10" t="s">
        <v>285</v>
      </c>
    </row>
    <row r="255" customFormat="false" ht="15" hidden="false" customHeight="true" outlineLevel="0" collapsed="false">
      <c r="A255" s="10"/>
      <c r="B255" s="10"/>
      <c r="C255" s="10"/>
      <c r="D255" s="10"/>
      <c r="E255" s="10"/>
      <c r="F255" s="10" t="s">
        <v>157</v>
      </c>
      <c r="G255" s="22" t="s">
        <v>843</v>
      </c>
      <c r="H255" s="10"/>
      <c r="I255" s="10"/>
      <c r="J255" s="10"/>
      <c r="K255" s="10"/>
      <c r="L255" s="10"/>
      <c r="M255" s="10"/>
      <c r="N255" s="10"/>
    </row>
    <row r="256" customFormat="false" ht="15" hidden="false" customHeight="true" outlineLevel="0" collapsed="false">
      <c r="A256" s="10" t="s">
        <v>844</v>
      </c>
      <c r="B256" s="10" t="s">
        <v>475</v>
      </c>
      <c r="C256" s="10" t="s">
        <v>97</v>
      </c>
      <c r="D256" s="10" t="s">
        <v>845</v>
      </c>
      <c r="E256" s="10" t="s">
        <v>839</v>
      </c>
      <c r="F256" s="10" t="s">
        <v>152</v>
      </c>
      <c r="G256" s="22" t="s">
        <v>846</v>
      </c>
      <c r="H256" s="10" t="s">
        <v>847</v>
      </c>
      <c r="I256" s="10" t="s">
        <v>848</v>
      </c>
      <c r="J256" s="11"/>
      <c r="K256" s="10" t="s">
        <v>107</v>
      </c>
      <c r="L256" s="10" t="s">
        <v>78</v>
      </c>
      <c r="M256" s="10" t="s">
        <v>97</v>
      </c>
      <c r="N256" s="10" t="s">
        <v>285</v>
      </c>
    </row>
    <row r="257" customFormat="false" ht="15" hidden="false" customHeight="true" outlineLevel="0" collapsed="false">
      <c r="A257" s="10"/>
      <c r="B257" s="10"/>
      <c r="C257" s="10"/>
      <c r="D257" s="10"/>
      <c r="E257" s="10"/>
      <c r="F257" s="10" t="s">
        <v>157</v>
      </c>
      <c r="G257" s="22" t="s">
        <v>849</v>
      </c>
      <c r="H257" s="10"/>
      <c r="I257" s="10"/>
      <c r="J257" s="10"/>
      <c r="K257" s="10"/>
      <c r="L257" s="10"/>
      <c r="M257" s="10"/>
      <c r="N257" s="10"/>
    </row>
    <row r="258" customFormat="false" ht="15" hidden="false" customHeight="true" outlineLevel="0" collapsed="false">
      <c r="A258" s="10"/>
      <c r="B258" s="10"/>
      <c r="C258" s="10"/>
      <c r="D258" s="10"/>
      <c r="E258" s="10"/>
      <c r="F258" s="10" t="s">
        <v>159</v>
      </c>
      <c r="G258" s="22" t="s">
        <v>850</v>
      </c>
      <c r="H258" s="10"/>
      <c r="I258" s="10"/>
      <c r="J258" s="10"/>
      <c r="K258" s="10"/>
      <c r="L258" s="10"/>
      <c r="M258" s="10"/>
      <c r="N258" s="10"/>
    </row>
    <row r="259" customFormat="false" ht="15" hidden="false" customHeight="true" outlineLevel="0" collapsed="false">
      <c r="A259" s="10" t="s">
        <v>851</v>
      </c>
      <c r="B259" s="10" t="s">
        <v>475</v>
      </c>
      <c r="C259" s="10" t="s">
        <v>84</v>
      </c>
      <c r="D259" s="10" t="s">
        <v>852</v>
      </c>
      <c r="E259" s="10" t="s">
        <v>853</v>
      </c>
      <c r="F259" s="10" t="s">
        <v>152</v>
      </c>
      <c r="G259" s="22" t="s">
        <v>854</v>
      </c>
      <c r="H259" s="10" t="s">
        <v>855</v>
      </c>
      <c r="I259" s="10" t="s">
        <v>856</v>
      </c>
      <c r="J259" s="11"/>
      <c r="K259" s="10" t="s">
        <v>106</v>
      </c>
      <c r="L259" s="10" t="s">
        <v>76</v>
      </c>
      <c r="M259" s="10" t="s">
        <v>84</v>
      </c>
      <c r="N259" s="10" t="s">
        <v>285</v>
      </c>
    </row>
    <row r="260" customFormat="false" ht="15" hidden="false" customHeight="true" outlineLevel="0" collapsed="false">
      <c r="A260" s="10"/>
      <c r="B260" s="10"/>
      <c r="C260" s="10"/>
      <c r="D260" s="10"/>
      <c r="E260" s="10"/>
      <c r="F260" s="10" t="s">
        <v>157</v>
      </c>
      <c r="G260" s="22" t="s">
        <v>857</v>
      </c>
      <c r="H260" s="10"/>
      <c r="I260" s="10"/>
      <c r="J260" s="10"/>
      <c r="K260" s="10"/>
      <c r="L260" s="10"/>
      <c r="M260" s="10"/>
      <c r="N260" s="10"/>
    </row>
    <row r="261" customFormat="false" ht="15" hidden="false" customHeight="true" outlineLevel="0" collapsed="false">
      <c r="A261" s="10" t="s">
        <v>858</v>
      </c>
      <c r="B261" s="10" t="s">
        <v>475</v>
      </c>
      <c r="C261" s="10" t="s">
        <v>84</v>
      </c>
      <c r="D261" s="10" t="s">
        <v>859</v>
      </c>
      <c r="E261" s="10" t="s">
        <v>860</v>
      </c>
      <c r="F261" s="10" t="s">
        <v>152</v>
      </c>
      <c r="G261" s="22" t="s">
        <v>861</v>
      </c>
      <c r="H261" s="10" t="s">
        <v>862</v>
      </c>
      <c r="I261" s="10" t="s">
        <v>863</v>
      </c>
      <c r="J261" s="11"/>
      <c r="K261" s="10" t="s">
        <v>107</v>
      </c>
      <c r="L261" s="10" t="s">
        <v>76</v>
      </c>
      <c r="M261" s="10" t="s">
        <v>89</v>
      </c>
      <c r="N261" s="10" t="s">
        <v>285</v>
      </c>
    </row>
    <row r="262" customFormat="false" ht="15" hidden="false" customHeight="true" outlineLevel="0" collapsed="false">
      <c r="A262" s="10"/>
      <c r="B262" s="10"/>
      <c r="C262" s="10"/>
      <c r="D262" s="10"/>
      <c r="E262" s="10"/>
      <c r="F262" s="10" t="s">
        <v>157</v>
      </c>
      <c r="G262" s="22" t="s">
        <v>864</v>
      </c>
      <c r="H262" s="10"/>
      <c r="I262" s="10"/>
      <c r="J262" s="10"/>
      <c r="K262" s="10"/>
      <c r="L262" s="10"/>
      <c r="M262" s="10"/>
      <c r="N262" s="10"/>
    </row>
    <row r="263" customFormat="false" ht="15" hidden="false" customHeight="true" outlineLevel="0" collapsed="false">
      <c r="A263" s="10" t="s">
        <v>865</v>
      </c>
      <c r="B263" s="10" t="s">
        <v>475</v>
      </c>
      <c r="C263" s="10" t="s">
        <v>90</v>
      </c>
      <c r="D263" s="10" t="s">
        <v>866</v>
      </c>
      <c r="E263" s="10" t="s">
        <v>867</v>
      </c>
      <c r="F263" s="10" t="s">
        <v>152</v>
      </c>
      <c r="G263" s="22" t="s">
        <v>868</v>
      </c>
      <c r="H263" s="10" t="s">
        <v>869</v>
      </c>
      <c r="I263" s="10" t="s">
        <v>870</v>
      </c>
      <c r="J263" s="11"/>
      <c r="K263" s="10" t="s">
        <v>106</v>
      </c>
      <c r="L263" s="10" t="s">
        <v>76</v>
      </c>
      <c r="M263" s="10" t="s">
        <v>90</v>
      </c>
      <c r="N263" s="10" t="s">
        <v>156</v>
      </c>
    </row>
    <row r="264" customFormat="false" ht="15" hidden="false" customHeight="true" outlineLevel="0" collapsed="false">
      <c r="A264" s="10"/>
      <c r="B264" s="10"/>
      <c r="C264" s="10"/>
      <c r="D264" s="10"/>
      <c r="E264" s="10"/>
      <c r="F264" s="10" t="s">
        <v>157</v>
      </c>
      <c r="G264" s="22" t="s">
        <v>871</v>
      </c>
      <c r="H264" s="10"/>
      <c r="I264" s="10"/>
      <c r="J264" s="10"/>
      <c r="K264" s="10"/>
      <c r="L264" s="10"/>
      <c r="M264" s="10"/>
      <c r="N264" s="10"/>
    </row>
    <row r="265" customFormat="false" ht="15" hidden="false" customHeight="true" outlineLevel="0" collapsed="false">
      <c r="A265" s="10"/>
      <c r="B265" s="10"/>
      <c r="C265" s="10"/>
      <c r="D265" s="10"/>
      <c r="E265" s="10"/>
      <c r="F265" s="10" t="s">
        <v>159</v>
      </c>
      <c r="G265" s="22" t="s">
        <v>872</v>
      </c>
      <c r="H265" s="10"/>
      <c r="I265" s="10"/>
      <c r="J265" s="10"/>
      <c r="K265" s="10"/>
      <c r="L265" s="10"/>
      <c r="M265" s="10"/>
      <c r="N265" s="10"/>
    </row>
    <row r="266" customFormat="false" ht="27.75" hidden="false" customHeight="true" outlineLevel="0" collapsed="false">
      <c r="A266" s="10" t="s">
        <v>873</v>
      </c>
      <c r="B266" s="10" t="s">
        <v>475</v>
      </c>
      <c r="C266" s="10" t="s">
        <v>874</v>
      </c>
      <c r="D266" s="10" t="s">
        <v>875</v>
      </c>
      <c r="E266" s="10" t="s">
        <v>876</v>
      </c>
      <c r="F266" s="10" t="s">
        <v>152</v>
      </c>
      <c r="G266" s="22" t="s">
        <v>877</v>
      </c>
      <c r="H266" s="10" t="s">
        <v>878</v>
      </c>
      <c r="I266" s="10" t="s">
        <v>879</v>
      </c>
      <c r="J266" s="11"/>
      <c r="K266" s="10" t="s">
        <v>105</v>
      </c>
      <c r="L266" s="10" t="s">
        <v>76</v>
      </c>
      <c r="M266" s="10" t="s">
        <v>86</v>
      </c>
      <c r="N266" s="10" t="s">
        <v>156</v>
      </c>
    </row>
    <row r="267" customFormat="false" ht="15" hidden="false" customHeight="true" outlineLevel="0" collapsed="false">
      <c r="A267" s="10"/>
      <c r="B267" s="10"/>
      <c r="C267" s="10"/>
      <c r="D267" s="10"/>
      <c r="E267" s="10"/>
      <c r="F267" s="10" t="s">
        <v>157</v>
      </c>
      <c r="G267" s="22" t="s">
        <v>880</v>
      </c>
      <c r="H267" s="10"/>
      <c r="I267" s="10"/>
      <c r="J267" s="10"/>
      <c r="K267" s="10"/>
      <c r="L267" s="10"/>
      <c r="M267" s="10"/>
      <c r="N267" s="10"/>
    </row>
    <row r="268" customFormat="false" ht="15" hidden="false" customHeight="true" outlineLevel="0" collapsed="false">
      <c r="A268" s="10"/>
      <c r="B268" s="10"/>
      <c r="C268" s="10"/>
      <c r="D268" s="10"/>
      <c r="E268" s="10"/>
      <c r="F268" s="10" t="s">
        <v>159</v>
      </c>
      <c r="G268" s="22" t="s">
        <v>881</v>
      </c>
      <c r="H268" s="10"/>
      <c r="I268" s="10"/>
      <c r="J268" s="10"/>
      <c r="K268" s="10"/>
      <c r="L268" s="10"/>
      <c r="M268" s="10"/>
      <c r="N268" s="10"/>
    </row>
    <row r="269" customFormat="false" ht="30" hidden="false" customHeight="true" outlineLevel="0" collapsed="false">
      <c r="A269" s="10"/>
      <c r="B269" s="10"/>
      <c r="C269" s="10"/>
      <c r="D269" s="10"/>
      <c r="E269" s="10"/>
      <c r="F269" s="10" t="s">
        <v>171</v>
      </c>
      <c r="G269" s="22" t="s">
        <v>882</v>
      </c>
      <c r="H269" s="10"/>
      <c r="I269" s="10"/>
      <c r="J269" s="10"/>
      <c r="K269" s="10"/>
      <c r="L269" s="10"/>
      <c r="M269" s="10"/>
      <c r="N269" s="10"/>
    </row>
    <row r="270" customFormat="false" ht="15" hidden="false" customHeight="true" outlineLevel="0" collapsed="false">
      <c r="A270" s="10" t="s">
        <v>883</v>
      </c>
      <c r="B270" s="10" t="s">
        <v>475</v>
      </c>
      <c r="C270" s="10" t="s">
        <v>186</v>
      </c>
      <c r="D270" s="10" t="s">
        <v>884</v>
      </c>
      <c r="E270" s="10" t="s">
        <v>885</v>
      </c>
      <c r="F270" s="10" t="s">
        <v>152</v>
      </c>
      <c r="G270" s="22" t="s">
        <v>886</v>
      </c>
      <c r="H270" s="10" t="s">
        <v>887</v>
      </c>
      <c r="I270" s="10" t="s">
        <v>888</v>
      </c>
      <c r="J270" s="11"/>
      <c r="K270" s="10" t="s">
        <v>105</v>
      </c>
      <c r="L270" s="10" t="s">
        <v>76</v>
      </c>
      <c r="M270" s="10" t="s">
        <v>86</v>
      </c>
      <c r="N270" s="10" t="s">
        <v>156</v>
      </c>
    </row>
    <row r="271" customFormat="false" ht="15" hidden="false" customHeight="true" outlineLevel="0" collapsed="false">
      <c r="A271" s="10"/>
      <c r="B271" s="10"/>
      <c r="C271" s="10"/>
      <c r="D271" s="10"/>
      <c r="E271" s="10"/>
      <c r="F271" s="10" t="s">
        <v>157</v>
      </c>
      <c r="G271" s="22" t="s">
        <v>889</v>
      </c>
      <c r="H271" s="10"/>
      <c r="I271" s="10"/>
      <c r="J271" s="10"/>
      <c r="K271" s="10"/>
      <c r="L271" s="10"/>
      <c r="M271" s="10"/>
      <c r="N271" s="10"/>
    </row>
    <row r="272" customFormat="false" ht="15" hidden="false" customHeight="true" outlineLevel="0" collapsed="false">
      <c r="A272" s="10"/>
      <c r="B272" s="10"/>
      <c r="C272" s="10"/>
      <c r="D272" s="10"/>
      <c r="E272" s="10"/>
      <c r="F272" s="10" t="s">
        <v>159</v>
      </c>
      <c r="G272" s="22" t="s">
        <v>890</v>
      </c>
      <c r="H272" s="10"/>
      <c r="I272" s="10"/>
      <c r="J272" s="10"/>
      <c r="K272" s="10"/>
      <c r="L272" s="10"/>
      <c r="M272" s="10"/>
      <c r="N272" s="10"/>
    </row>
    <row r="273" customFormat="false" ht="15" hidden="false" customHeight="true" outlineLevel="0" collapsed="false">
      <c r="A273" s="10" t="s">
        <v>891</v>
      </c>
      <c r="B273" s="10" t="s">
        <v>475</v>
      </c>
      <c r="C273" s="10" t="s">
        <v>186</v>
      </c>
      <c r="D273" s="10" t="s">
        <v>892</v>
      </c>
      <c r="E273" s="10" t="s">
        <v>523</v>
      </c>
      <c r="F273" s="10" t="s">
        <v>152</v>
      </c>
      <c r="G273" s="22" t="s">
        <v>893</v>
      </c>
      <c r="H273" s="10" t="s">
        <v>894</v>
      </c>
      <c r="I273" s="10" t="s">
        <v>895</v>
      </c>
      <c r="J273" s="11"/>
      <c r="K273" s="10" t="s">
        <v>106</v>
      </c>
      <c r="L273" s="10" t="s">
        <v>76</v>
      </c>
      <c r="M273" s="10" t="s">
        <v>91</v>
      </c>
      <c r="N273" s="10" t="s">
        <v>156</v>
      </c>
    </row>
    <row r="274" customFormat="false" ht="15" hidden="false" customHeight="true" outlineLevel="0" collapsed="false">
      <c r="A274" s="10"/>
      <c r="B274" s="10"/>
      <c r="C274" s="10"/>
      <c r="D274" s="10"/>
      <c r="E274" s="10"/>
      <c r="F274" s="10" t="s">
        <v>157</v>
      </c>
      <c r="G274" s="22" t="s">
        <v>896</v>
      </c>
      <c r="H274" s="10"/>
      <c r="I274" s="10"/>
      <c r="J274" s="10"/>
      <c r="K274" s="10"/>
      <c r="L274" s="10"/>
      <c r="M274" s="10"/>
      <c r="N274" s="10"/>
    </row>
    <row r="275" customFormat="false" ht="15" hidden="false" customHeight="true" outlineLevel="0" collapsed="false">
      <c r="A275" s="10"/>
      <c r="B275" s="10"/>
      <c r="C275" s="10"/>
      <c r="D275" s="10"/>
      <c r="E275" s="10"/>
      <c r="F275" s="10" t="s">
        <v>159</v>
      </c>
      <c r="G275" s="22" t="s">
        <v>897</v>
      </c>
      <c r="H275" s="10"/>
      <c r="I275" s="10"/>
      <c r="J275" s="10"/>
      <c r="K275" s="10"/>
      <c r="L275" s="10"/>
      <c r="M275" s="10"/>
      <c r="N275" s="10"/>
    </row>
    <row r="276" customFormat="false" ht="27.75" hidden="false" customHeight="true" outlineLevel="0" collapsed="false">
      <c r="A276" s="10" t="s">
        <v>898</v>
      </c>
      <c r="B276" s="10" t="s">
        <v>475</v>
      </c>
      <c r="C276" s="10" t="s">
        <v>175</v>
      </c>
      <c r="D276" s="10" t="s">
        <v>899</v>
      </c>
      <c r="E276" s="10" t="s">
        <v>175</v>
      </c>
      <c r="F276" s="10" t="s">
        <v>152</v>
      </c>
      <c r="G276" s="22" t="s">
        <v>900</v>
      </c>
      <c r="H276" s="10" t="s">
        <v>901</v>
      </c>
      <c r="I276" s="10" t="s">
        <v>902</v>
      </c>
      <c r="J276" s="11"/>
      <c r="K276" s="10" t="s">
        <v>106</v>
      </c>
      <c r="L276" s="10" t="s">
        <v>76</v>
      </c>
      <c r="M276" s="10" t="s">
        <v>91</v>
      </c>
      <c r="N276" s="10" t="s">
        <v>156</v>
      </c>
    </row>
    <row r="277" customFormat="false" ht="15" hidden="false" customHeight="true" outlineLevel="0" collapsed="false">
      <c r="A277" s="10"/>
      <c r="B277" s="10"/>
      <c r="C277" s="10"/>
      <c r="D277" s="10"/>
      <c r="E277" s="10"/>
      <c r="F277" s="10" t="s">
        <v>157</v>
      </c>
      <c r="G277" s="22" t="s">
        <v>903</v>
      </c>
      <c r="H277" s="10"/>
      <c r="I277" s="10"/>
      <c r="J277" s="10"/>
      <c r="K277" s="10"/>
      <c r="L277" s="10"/>
      <c r="M277" s="10"/>
      <c r="N277" s="10"/>
    </row>
    <row r="278" customFormat="false" ht="30" hidden="false" customHeight="true" outlineLevel="0" collapsed="false">
      <c r="A278" s="10"/>
      <c r="B278" s="10"/>
      <c r="C278" s="10"/>
      <c r="D278" s="10"/>
      <c r="E278" s="10"/>
      <c r="F278" s="10" t="s">
        <v>159</v>
      </c>
      <c r="G278" s="22" t="s">
        <v>904</v>
      </c>
      <c r="H278" s="10"/>
      <c r="I278" s="10"/>
      <c r="J278" s="10"/>
      <c r="K278" s="10"/>
      <c r="L278" s="10"/>
      <c r="M278" s="10"/>
      <c r="N278" s="10"/>
    </row>
    <row r="279" customFormat="false" ht="30" hidden="false" customHeight="true" outlineLevel="0" collapsed="false">
      <c r="A279" s="10"/>
      <c r="B279" s="10"/>
      <c r="C279" s="10"/>
      <c r="D279" s="10"/>
      <c r="E279" s="10"/>
      <c r="F279" s="10" t="s">
        <v>171</v>
      </c>
      <c r="G279" s="22" t="s">
        <v>905</v>
      </c>
      <c r="H279" s="10"/>
      <c r="I279" s="10"/>
      <c r="J279" s="10"/>
      <c r="K279" s="10"/>
      <c r="L279" s="10"/>
      <c r="M279" s="10"/>
      <c r="N279" s="10"/>
    </row>
    <row r="280" customFormat="false" ht="15" hidden="false" customHeight="true" outlineLevel="0" collapsed="false">
      <c r="A280" s="11" t="s">
        <v>906</v>
      </c>
      <c r="B280" s="10" t="s">
        <v>475</v>
      </c>
      <c r="C280" s="10" t="s">
        <v>175</v>
      </c>
      <c r="D280" s="10" t="s">
        <v>907</v>
      </c>
      <c r="E280" s="10" t="s">
        <v>908</v>
      </c>
      <c r="F280" s="10" t="s">
        <v>152</v>
      </c>
      <c r="G280" s="22" t="s">
        <v>909</v>
      </c>
      <c r="H280" s="10" t="s">
        <v>910</v>
      </c>
      <c r="I280" s="10" t="s">
        <v>911</v>
      </c>
      <c r="J280" s="11"/>
      <c r="K280" s="10" t="s">
        <v>105</v>
      </c>
      <c r="L280" s="10" t="s">
        <v>77</v>
      </c>
      <c r="M280" s="10" t="s">
        <v>91</v>
      </c>
      <c r="N280" s="10" t="s">
        <v>156</v>
      </c>
    </row>
    <row r="281" customFormat="false" ht="15" hidden="false" customHeight="true" outlineLevel="0" collapsed="false">
      <c r="A281" s="11"/>
      <c r="B281" s="11"/>
      <c r="C281" s="11"/>
      <c r="D281" s="11"/>
      <c r="E281" s="11"/>
      <c r="F281" s="10" t="s">
        <v>157</v>
      </c>
      <c r="G281" s="22" t="s">
        <v>912</v>
      </c>
      <c r="H281" s="10"/>
      <c r="I281" s="10"/>
      <c r="J281" s="10"/>
      <c r="K281" s="10"/>
      <c r="L281" s="10"/>
      <c r="M281" s="10"/>
      <c r="N281" s="10"/>
    </row>
    <row r="282" customFormat="false" ht="15" hidden="false" customHeight="true" outlineLevel="0" collapsed="false">
      <c r="A282" s="11"/>
      <c r="B282" s="11"/>
      <c r="C282" s="11"/>
      <c r="D282" s="11"/>
      <c r="E282" s="11"/>
      <c r="F282" s="10" t="s">
        <v>159</v>
      </c>
      <c r="G282" s="22" t="s">
        <v>913</v>
      </c>
      <c r="H282" s="10"/>
      <c r="I282" s="10"/>
      <c r="J282" s="10"/>
      <c r="K282" s="10"/>
      <c r="L282" s="10"/>
      <c r="M282" s="10"/>
      <c r="N282" s="10"/>
    </row>
    <row r="283" customFormat="false" ht="27.75" hidden="false" customHeight="true" outlineLevel="0" collapsed="false">
      <c r="A283" s="10" t="s">
        <v>914</v>
      </c>
      <c r="B283" s="10" t="s">
        <v>475</v>
      </c>
      <c r="C283" s="10" t="s">
        <v>175</v>
      </c>
      <c r="D283" s="10" t="s">
        <v>915</v>
      </c>
      <c r="E283" s="10" t="s">
        <v>281</v>
      </c>
      <c r="F283" s="10" t="s">
        <v>152</v>
      </c>
      <c r="G283" s="22" t="s">
        <v>916</v>
      </c>
      <c r="H283" s="10" t="s">
        <v>917</v>
      </c>
      <c r="I283" s="10" t="s">
        <v>918</v>
      </c>
      <c r="J283" s="11"/>
      <c r="K283" s="10" t="s">
        <v>106</v>
      </c>
      <c r="L283" s="10" t="s">
        <v>76</v>
      </c>
      <c r="M283" s="10" t="s">
        <v>86</v>
      </c>
      <c r="N283" s="10" t="s">
        <v>156</v>
      </c>
    </row>
    <row r="284" customFormat="false" ht="15" hidden="false" customHeight="true" outlineLevel="0" collapsed="false">
      <c r="A284" s="10"/>
      <c r="B284" s="10"/>
      <c r="C284" s="10"/>
      <c r="D284" s="10"/>
      <c r="E284" s="10"/>
      <c r="F284" s="10" t="s">
        <v>157</v>
      </c>
      <c r="G284" s="22" t="s">
        <v>919</v>
      </c>
      <c r="H284" s="10"/>
      <c r="I284" s="10"/>
      <c r="J284" s="10"/>
      <c r="K284" s="10"/>
      <c r="L284" s="10"/>
      <c r="M284" s="10"/>
      <c r="N284" s="10"/>
    </row>
    <row r="285" customFormat="false" ht="15" hidden="false" customHeight="true" outlineLevel="0" collapsed="false">
      <c r="A285" s="10"/>
      <c r="B285" s="10"/>
      <c r="C285" s="10"/>
      <c r="D285" s="10"/>
      <c r="E285" s="10"/>
      <c r="F285" s="10" t="s">
        <v>159</v>
      </c>
      <c r="G285" s="22" t="s">
        <v>920</v>
      </c>
      <c r="H285" s="10"/>
      <c r="I285" s="10"/>
      <c r="J285" s="10"/>
      <c r="K285" s="10"/>
      <c r="L285" s="10"/>
      <c r="M285" s="10"/>
      <c r="N285" s="10"/>
    </row>
    <row r="286" customFormat="false" ht="50.25" hidden="false" customHeight="true" outlineLevel="0" collapsed="false">
      <c r="A286" s="10" t="s">
        <v>921</v>
      </c>
      <c r="B286" s="10" t="s">
        <v>475</v>
      </c>
      <c r="C286" s="10" t="s">
        <v>175</v>
      </c>
      <c r="D286" s="10" t="s">
        <v>922</v>
      </c>
      <c r="E286" s="10" t="s">
        <v>537</v>
      </c>
      <c r="F286" s="10" t="s">
        <v>152</v>
      </c>
      <c r="G286" s="22" t="s">
        <v>923</v>
      </c>
      <c r="H286" s="10" t="s">
        <v>924</v>
      </c>
      <c r="I286" s="10" t="s">
        <v>925</v>
      </c>
      <c r="J286" s="11"/>
      <c r="K286" s="10" t="s">
        <v>106</v>
      </c>
      <c r="L286" s="10" t="s">
        <v>76</v>
      </c>
      <c r="M286" s="10" t="s">
        <v>85</v>
      </c>
      <c r="N286" s="10" t="s">
        <v>156</v>
      </c>
    </row>
    <row r="287" customFormat="false" ht="39.75" hidden="false" customHeight="true" outlineLevel="0" collapsed="false">
      <c r="A287" s="10"/>
      <c r="B287" s="10"/>
      <c r="C287" s="10"/>
      <c r="D287" s="10"/>
      <c r="E287" s="10"/>
      <c r="F287" s="10" t="s">
        <v>157</v>
      </c>
      <c r="G287" s="22" t="s">
        <v>926</v>
      </c>
      <c r="H287" s="10"/>
      <c r="I287" s="10"/>
      <c r="J287" s="10"/>
      <c r="K287" s="10"/>
      <c r="L287" s="10"/>
      <c r="M287" s="10"/>
      <c r="N287" s="10"/>
    </row>
    <row r="288" customFormat="false" ht="15" hidden="false" customHeight="true" outlineLevel="0" collapsed="false">
      <c r="A288" s="10" t="s">
        <v>927</v>
      </c>
      <c r="B288" s="10" t="s">
        <v>475</v>
      </c>
      <c r="C288" s="10" t="s">
        <v>163</v>
      </c>
      <c r="D288" s="10" t="s">
        <v>928</v>
      </c>
      <c r="E288" s="10" t="s">
        <v>163</v>
      </c>
      <c r="F288" s="10" t="s">
        <v>152</v>
      </c>
      <c r="G288" s="22" t="s">
        <v>929</v>
      </c>
      <c r="H288" s="10" t="s">
        <v>930</v>
      </c>
      <c r="I288" s="10" t="s">
        <v>931</v>
      </c>
      <c r="J288" s="11"/>
      <c r="K288" s="10" t="s">
        <v>106</v>
      </c>
      <c r="L288" s="10" t="s">
        <v>78</v>
      </c>
      <c r="M288" s="10" t="s">
        <v>91</v>
      </c>
      <c r="N288" s="10" t="s">
        <v>156</v>
      </c>
    </row>
    <row r="289" customFormat="false" ht="15" hidden="false" customHeight="true" outlineLevel="0" collapsed="false">
      <c r="A289" s="10"/>
      <c r="B289" s="10"/>
      <c r="C289" s="10"/>
      <c r="D289" s="10"/>
      <c r="E289" s="10"/>
      <c r="F289" s="10" t="s">
        <v>157</v>
      </c>
      <c r="G289" s="22" t="s">
        <v>932</v>
      </c>
      <c r="H289" s="10"/>
      <c r="I289" s="10"/>
      <c r="J289" s="10"/>
      <c r="K289" s="10"/>
      <c r="L289" s="10"/>
      <c r="M289" s="10"/>
      <c r="N289" s="10"/>
    </row>
    <row r="290" customFormat="false" ht="15" hidden="false" customHeight="true" outlineLevel="0" collapsed="false">
      <c r="A290" s="10"/>
      <c r="B290" s="10"/>
      <c r="C290" s="10"/>
      <c r="D290" s="10"/>
      <c r="E290" s="10"/>
      <c r="F290" s="10" t="s">
        <v>159</v>
      </c>
      <c r="G290" s="22" t="s">
        <v>933</v>
      </c>
      <c r="H290" s="10"/>
      <c r="I290" s="10"/>
      <c r="J290" s="10"/>
      <c r="K290" s="10"/>
      <c r="L290" s="10"/>
      <c r="M290" s="10"/>
      <c r="N290" s="10"/>
    </row>
    <row r="291" customFormat="false" ht="15" hidden="false" customHeight="true" outlineLevel="0" collapsed="false">
      <c r="A291" s="10" t="s">
        <v>934</v>
      </c>
      <c r="B291" s="10" t="s">
        <v>475</v>
      </c>
      <c r="C291" s="10" t="s">
        <v>163</v>
      </c>
      <c r="D291" s="10" t="s">
        <v>935</v>
      </c>
      <c r="E291" s="10" t="s">
        <v>163</v>
      </c>
      <c r="F291" s="10" t="s">
        <v>152</v>
      </c>
      <c r="G291" s="22" t="s">
        <v>936</v>
      </c>
      <c r="H291" s="10" t="s">
        <v>937</v>
      </c>
      <c r="I291" s="10" t="s">
        <v>938</v>
      </c>
      <c r="J291" s="11"/>
      <c r="K291" s="10" t="s">
        <v>106</v>
      </c>
      <c r="L291" s="10" t="s">
        <v>76</v>
      </c>
      <c r="M291" s="10" t="s">
        <v>91</v>
      </c>
      <c r="N291" s="10" t="s">
        <v>156</v>
      </c>
    </row>
    <row r="292" customFormat="false" ht="15" hidden="false" customHeight="true" outlineLevel="0" collapsed="false">
      <c r="A292" s="10"/>
      <c r="B292" s="10"/>
      <c r="C292" s="10"/>
      <c r="D292" s="10"/>
      <c r="E292" s="10"/>
      <c r="F292" s="10" t="s">
        <v>157</v>
      </c>
      <c r="G292" s="22" t="s">
        <v>939</v>
      </c>
      <c r="H292" s="10"/>
      <c r="I292" s="10"/>
      <c r="J292" s="10"/>
      <c r="K292" s="10"/>
      <c r="L292" s="10"/>
      <c r="M292" s="10"/>
      <c r="N292" s="10"/>
    </row>
    <row r="293" customFormat="false" ht="30" hidden="false" customHeight="true" outlineLevel="0" collapsed="false">
      <c r="A293" s="10"/>
      <c r="B293" s="10"/>
      <c r="C293" s="10"/>
      <c r="D293" s="10"/>
      <c r="E293" s="10"/>
      <c r="F293" s="10" t="s">
        <v>159</v>
      </c>
      <c r="G293" s="22" t="s">
        <v>940</v>
      </c>
      <c r="H293" s="10"/>
      <c r="I293" s="10"/>
      <c r="J293" s="10"/>
      <c r="K293" s="10"/>
      <c r="L293" s="10"/>
      <c r="M293" s="10"/>
      <c r="N293" s="10"/>
    </row>
    <row r="294" customFormat="false" ht="68.25" hidden="false" customHeight="true" outlineLevel="0" collapsed="false">
      <c r="A294" s="10" t="s">
        <v>941</v>
      </c>
      <c r="B294" s="10" t="s">
        <v>475</v>
      </c>
      <c r="C294" s="10" t="s">
        <v>942</v>
      </c>
      <c r="D294" s="10" t="s">
        <v>943</v>
      </c>
      <c r="E294" s="10" t="s">
        <v>944</v>
      </c>
      <c r="F294" s="10" t="s">
        <v>152</v>
      </c>
      <c r="G294" s="22" t="s">
        <v>945</v>
      </c>
      <c r="H294" s="10" t="s">
        <v>487</v>
      </c>
      <c r="I294" s="10" t="s">
        <v>946</v>
      </c>
      <c r="J294" s="11"/>
      <c r="K294" s="10" t="s">
        <v>105</v>
      </c>
      <c r="L294" s="10" t="s">
        <v>76</v>
      </c>
      <c r="M294" s="10" t="s">
        <v>85</v>
      </c>
      <c r="N294" s="10" t="s">
        <v>156</v>
      </c>
    </row>
    <row r="295" customFormat="false" ht="15" hidden="false" customHeight="true" outlineLevel="0" collapsed="false">
      <c r="A295" s="10"/>
      <c r="B295" s="10"/>
      <c r="C295" s="10"/>
      <c r="D295" s="10"/>
      <c r="E295" s="10"/>
      <c r="F295" s="10" t="s">
        <v>157</v>
      </c>
      <c r="G295" s="22" t="s">
        <v>947</v>
      </c>
      <c r="H295" s="10"/>
      <c r="I295" s="10"/>
      <c r="J295" s="10"/>
      <c r="K295" s="10"/>
      <c r="L295" s="10"/>
      <c r="M295" s="10"/>
      <c r="N295" s="10"/>
    </row>
    <row r="296" customFormat="false" ht="41.25" hidden="false" customHeight="true" outlineLevel="0" collapsed="false">
      <c r="A296" s="10" t="s">
        <v>948</v>
      </c>
      <c r="B296" s="10" t="s">
        <v>475</v>
      </c>
      <c r="C296" s="10" t="s">
        <v>93</v>
      </c>
      <c r="D296" s="10" t="s">
        <v>949</v>
      </c>
      <c r="E296" s="10" t="s">
        <v>326</v>
      </c>
      <c r="F296" s="10" t="s">
        <v>152</v>
      </c>
      <c r="G296" s="22" t="s">
        <v>950</v>
      </c>
      <c r="H296" s="10" t="s">
        <v>951</v>
      </c>
      <c r="I296" s="10" t="s">
        <v>952</v>
      </c>
      <c r="J296" s="11"/>
      <c r="K296" s="10" t="s">
        <v>106</v>
      </c>
      <c r="L296" s="10" t="s">
        <v>76</v>
      </c>
      <c r="M296" s="10" t="s">
        <v>91</v>
      </c>
      <c r="N296" s="10" t="s">
        <v>156</v>
      </c>
    </row>
    <row r="297" customFormat="false" ht="15" hidden="false" customHeight="true" outlineLevel="0" collapsed="false">
      <c r="A297" s="10"/>
      <c r="B297" s="10"/>
      <c r="C297" s="10"/>
      <c r="D297" s="10"/>
      <c r="E297" s="10"/>
      <c r="F297" s="10" t="s">
        <v>157</v>
      </c>
      <c r="G297" s="22" t="s">
        <v>953</v>
      </c>
      <c r="H297" s="10"/>
      <c r="I297" s="10"/>
      <c r="J297" s="10"/>
      <c r="K297" s="10"/>
      <c r="L297" s="10"/>
      <c r="M297" s="10"/>
      <c r="N297" s="10"/>
    </row>
    <row r="298" customFormat="false" ht="30" hidden="false" customHeight="true" outlineLevel="0" collapsed="false">
      <c r="A298" s="10"/>
      <c r="B298" s="10"/>
      <c r="C298" s="10"/>
      <c r="D298" s="10"/>
      <c r="E298" s="10"/>
      <c r="F298" s="10" t="s">
        <v>159</v>
      </c>
      <c r="G298" s="22" t="s">
        <v>954</v>
      </c>
      <c r="H298" s="10"/>
      <c r="I298" s="10"/>
      <c r="J298" s="10"/>
      <c r="K298" s="10"/>
      <c r="L298" s="10"/>
      <c r="M298" s="10"/>
      <c r="N298" s="10"/>
    </row>
    <row r="299" customFormat="false" ht="15" hidden="false" customHeight="true" outlineLevel="0" collapsed="false">
      <c r="A299" s="10"/>
      <c r="B299" s="10"/>
      <c r="C299" s="10"/>
      <c r="D299" s="10"/>
      <c r="E299" s="10"/>
      <c r="F299" s="10" t="s">
        <v>171</v>
      </c>
      <c r="G299" s="22" t="s">
        <v>955</v>
      </c>
      <c r="H299" s="10"/>
      <c r="I299" s="10"/>
      <c r="J299" s="10"/>
      <c r="K299" s="10"/>
      <c r="L299" s="10"/>
      <c r="M299" s="10"/>
      <c r="N299" s="10"/>
    </row>
    <row r="300" customFormat="false" ht="15" hidden="false" customHeight="true" outlineLevel="0" collapsed="false">
      <c r="A300" s="10" t="s">
        <v>956</v>
      </c>
      <c r="B300" s="10" t="s">
        <v>475</v>
      </c>
      <c r="C300" s="10" t="s">
        <v>93</v>
      </c>
      <c r="D300" s="10" t="s">
        <v>957</v>
      </c>
      <c r="E300" s="10" t="s">
        <v>326</v>
      </c>
      <c r="F300" s="10" t="s">
        <v>152</v>
      </c>
      <c r="G300" s="22" t="s">
        <v>958</v>
      </c>
      <c r="H300" s="10" t="s">
        <v>959</v>
      </c>
      <c r="I300" s="10" t="s">
        <v>960</v>
      </c>
      <c r="J300" s="11"/>
      <c r="K300" s="10" t="s">
        <v>106</v>
      </c>
      <c r="L300" s="10" t="s">
        <v>76</v>
      </c>
      <c r="M300" s="10" t="s">
        <v>85</v>
      </c>
      <c r="N300" s="10" t="s">
        <v>156</v>
      </c>
    </row>
    <row r="301" customFormat="false" ht="30" hidden="false" customHeight="true" outlineLevel="0" collapsed="false">
      <c r="A301" s="10"/>
      <c r="B301" s="10"/>
      <c r="C301" s="10"/>
      <c r="D301" s="10"/>
      <c r="E301" s="10"/>
      <c r="F301" s="10" t="s">
        <v>157</v>
      </c>
      <c r="G301" s="22" t="s">
        <v>961</v>
      </c>
      <c r="H301" s="10"/>
      <c r="I301" s="10"/>
      <c r="J301" s="10"/>
      <c r="K301" s="10"/>
      <c r="L301" s="10"/>
      <c r="M301" s="10"/>
      <c r="N301" s="10"/>
    </row>
    <row r="302" customFormat="false" ht="15" hidden="false" customHeight="true" outlineLevel="0" collapsed="false">
      <c r="A302" s="10"/>
      <c r="B302" s="10"/>
      <c r="C302" s="10"/>
      <c r="D302" s="10"/>
      <c r="E302" s="10"/>
      <c r="F302" s="10" t="s">
        <v>159</v>
      </c>
      <c r="G302" s="22" t="s">
        <v>962</v>
      </c>
      <c r="H302" s="10"/>
      <c r="I302" s="10"/>
      <c r="J302" s="10"/>
      <c r="K302" s="10"/>
      <c r="L302" s="10"/>
      <c r="M302" s="10"/>
      <c r="N302" s="10"/>
    </row>
    <row r="303" customFormat="false" ht="15" hidden="false" customHeight="true" outlineLevel="0" collapsed="false">
      <c r="A303" s="10"/>
      <c r="B303" s="10"/>
      <c r="C303" s="10"/>
      <c r="D303" s="10"/>
      <c r="E303" s="10"/>
      <c r="F303" s="10" t="s">
        <v>171</v>
      </c>
      <c r="G303" s="22" t="s">
        <v>963</v>
      </c>
      <c r="H303" s="10"/>
      <c r="I303" s="10"/>
      <c r="J303" s="10"/>
      <c r="K303" s="10"/>
      <c r="L303" s="10"/>
      <c r="M303" s="10"/>
      <c r="N303" s="10"/>
    </row>
    <row r="304" customFormat="false" ht="15" hidden="false" customHeight="true" outlineLevel="0" collapsed="false">
      <c r="A304" s="10" t="s">
        <v>964</v>
      </c>
      <c r="B304" s="10" t="s">
        <v>475</v>
      </c>
      <c r="C304" s="10" t="s">
        <v>93</v>
      </c>
      <c r="D304" s="10" t="s">
        <v>965</v>
      </c>
      <c r="E304" s="10" t="s">
        <v>326</v>
      </c>
      <c r="F304" s="10" t="s">
        <v>152</v>
      </c>
      <c r="G304" s="22" t="s">
        <v>966</v>
      </c>
      <c r="H304" s="11" t="s">
        <v>967</v>
      </c>
      <c r="I304" s="10" t="s">
        <v>968</v>
      </c>
      <c r="J304" s="11"/>
      <c r="K304" s="10" t="s">
        <v>106</v>
      </c>
      <c r="L304" s="10" t="s">
        <v>76</v>
      </c>
      <c r="M304" s="10" t="s">
        <v>91</v>
      </c>
      <c r="N304" s="10" t="s">
        <v>156</v>
      </c>
    </row>
    <row r="305" customFormat="false" ht="30" hidden="false" customHeight="true" outlineLevel="0" collapsed="false">
      <c r="A305" s="10"/>
      <c r="B305" s="10"/>
      <c r="C305" s="10"/>
      <c r="D305" s="10"/>
      <c r="E305" s="10"/>
      <c r="F305" s="10" t="s">
        <v>157</v>
      </c>
      <c r="G305" s="22" t="s">
        <v>969</v>
      </c>
      <c r="H305" s="11"/>
      <c r="I305" s="11"/>
      <c r="J305" s="11"/>
      <c r="K305" s="10"/>
      <c r="L305" s="10"/>
      <c r="M305" s="10"/>
      <c r="N305" s="10"/>
    </row>
    <row r="306" customFormat="false" ht="15" hidden="false" customHeight="true" outlineLevel="0" collapsed="false">
      <c r="A306" s="10"/>
      <c r="B306" s="10"/>
      <c r="C306" s="10"/>
      <c r="D306" s="10"/>
      <c r="E306" s="10"/>
      <c r="F306" s="10" t="s">
        <v>159</v>
      </c>
      <c r="G306" s="22" t="s">
        <v>970</v>
      </c>
      <c r="H306" s="11"/>
      <c r="I306" s="11"/>
      <c r="J306" s="11"/>
      <c r="K306" s="10"/>
      <c r="L306" s="10"/>
      <c r="M306" s="10"/>
      <c r="N306" s="10"/>
    </row>
    <row r="307" customFormat="false" ht="15" hidden="false" customHeight="true" outlineLevel="0" collapsed="false">
      <c r="A307" s="10"/>
      <c r="B307" s="10"/>
      <c r="C307" s="10"/>
      <c r="D307" s="10"/>
      <c r="E307" s="10"/>
      <c r="F307" s="10" t="s">
        <v>171</v>
      </c>
      <c r="G307" s="22" t="s">
        <v>971</v>
      </c>
      <c r="H307" s="11"/>
      <c r="I307" s="11"/>
      <c r="J307" s="11"/>
      <c r="K307" s="10"/>
      <c r="L307" s="10"/>
      <c r="M307" s="10"/>
      <c r="N307" s="10"/>
    </row>
    <row r="308" customFormat="false" ht="15" hidden="false" customHeight="true" outlineLevel="0" collapsed="false">
      <c r="A308" s="10"/>
      <c r="B308" s="10"/>
      <c r="C308" s="10"/>
      <c r="D308" s="10"/>
      <c r="E308" s="10"/>
      <c r="F308" s="10" t="s">
        <v>256</v>
      </c>
      <c r="G308" s="22" t="s">
        <v>972</v>
      </c>
      <c r="H308" s="11"/>
      <c r="I308" s="11"/>
      <c r="J308" s="11"/>
      <c r="K308" s="10"/>
      <c r="L308" s="10"/>
      <c r="M308" s="10"/>
      <c r="N308" s="10"/>
    </row>
    <row r="309" customFormat="false" ht="15" hidden="false" customHeight="true" outlineLevel="0" collapsed="false">
      <c r="A309" s="10" t="s">
        <v>973</v>
      </c>
      <c r="B309" s="10" t="s">
        <v>475</v>
      </c>
      <c r="C309" s="10" t="s">
        <v>98</v>
      </c>
      <c r="D309" s="10" t="s">
        <v>974</v>
      </c>
      <c r="E309" s="10" t="s">
        <v>326</v>
      </c>
      <c r="F309" s="10" t="s">
        <v>152</v>
      </c>
      <c r="G309" s="22" t="s">
        <v>975</v>
      </c>
      <c r="H309" s="10" t="s">
        <v>976</v>
      </c>
      <c r="I309" s="10" t="s">
        <v>977</v>
      </c>
      <c r="J309" s="10"/>
      <c r="K309" s="10" t="s">
        <v>106</v>
      </c>
      <c r="L309" s="10" t="s">
        <v>76</v>
      </c>
      <c r="M309" s="10" t="s">
        <v>98</v>
      </c>
      <c r="N309" s="10" t="s">
        <v>285</v>
      </c>
    </row>
    <row r="310" customFormat="false" ht="15" hidden="false" customHeight="true" outlineLevel="0" collapsed="false">
      <c r="A310" s="10"/>
      <c r="B310" s="10"/>
      <c r="C310" s="10"/>
      <c r="D310" s="10"/>
      <c r="E310" s="10"/>
      <c r="F310" s="10" t="s">
        <v>157</v>
      </c>
      <c r="G310" s="22" t="s">
        <v>978</v>
      </c>
      <c r="H310" s="10"/>
      <c r="I310" s="10"/>
      <c r="J310" s="10"/>
      <c r="K310" s="10"/>
      <c r="L310" s="10"/>
      <c r="M310" s="10"/>
      <c r="N310" s="10"/>
    </row>
    <row r="311" customFormat="false" ht="30" hidden="false" customHeight="true" outlineLevel="0" collapsed="false">
      <c r="A311" s="10"/>
      <c r="B311" s="10"/>
      <c r="C311" s="10"/>
      <c r="D311" s="10"/>
      <c r="E311" s="10"/>
      <c r="F311" s="10" t="s">
        <v>159</v>
      </c>
      <c r="G311" s="22" t="s">
        <v>979</v>
      </c>
      <c r="H311" s="10"/>
      <c r="I311" s="10"/>
      <c r="J311" s="10"/>
      <c r="K311" s="10"/>
      <c r="L311" s="10"/>
      <c r="M311" s="10"/>
      <c r="N311" s="10"/>
    </row>
    <row r="312" customFormat="false" ht="15" hidden="false" customHeight="true" outlineLevel="0" collapsed="false">
      <c r="A312" s="10" t="s">
        <v>980</v>
      </c>
      <c r="B312" s="10" t="s">
        <v>475</v>
      </c>
      <c r="C312" s="10" t="s">
        <v>389</v>
      </c>
      <c r="D312" s="10" t="s">
        <v>981</v>
      </c>
      <c r="E312" s="10" t="s">
        <v>982</v>
      </c>
      <c r="F312" s="10" t="s">
        <v>152</v>
      </c>
      <c r="G312" s="22" t="s">
        <v>983</v>
      </c>
      <c r="H312" s="10" t="s">
        <v>984</v>
      </c>
      <c r="I312" s="10" t="s">
        <v>985</v>
      </c>
      <c r="J312" s="10"/>
      <c r="K312" s="10" t="s">
        <v>105</v>
      </c>
      <c r="L312" s="10" t="s">
        <v>76</v>
      </c>
      <c r="M312" s="10" t="s">
        <v>82</v>
      </c>
      <c r="N312" s="10" t="s">
        <v>285</v>
      </c>
    </row>
    <row r="313" customFormat="false" ht="15" hidden="false" customHeight="true" outlineLevel="0" collapsed="false">
      <c r="A313" s="10"/>
      <c r="B313" s="10"/>
      <c r="C313" s="10"/>
      <c r="D313" s="10"/>
      <c r="E313" s="10"/>
      <c r="F313" s="10" t="s">
        <v>157</v>
      </c>
      <c r="G313" s="22" t="s">
        <v>986</v>
      </c>
      <c r="H313" s="10"/>
      <c r="I313" s="10"/>
      <c r="J313" s="10"/>
      <c r="K313" s="10"/>
      <c r="L313" s="10"/>
      <c r="M313" s="10"/>
      <c r="N313" s="10"/>
    </row>
    <row r="314" customFormat="false" ht="15" hidden="false" customHeight="true" outlineLevel="0" collapsed="false">
      <c r="A314" s="10"/>
      <c r="B314" s="10"/>
      <c r="C314" s="10"/>
      <c r="D314" s="10"/>
      <c r="E314" s="10"/>
      <c r="F314" s="10" t="s">
        <v>159</v>
      </c>
      <c r="G314" s="22" t="s">
        <v>987</v>
      </c>
      <c r="H314" s="10"/>
      <c r="I314" s="10"/>
      <c r="J314" s="10"/>
      <c r="K314" s="10"/>
      <c r="L314" s="10"/>
      <c r="M314" s="10"/>
      <c r="N314" s="10"/>
    </row>
    <row r="315" customFormat="false" ht="30" hidden="false" customHeight="true" outlineLevel="0" collapsed="false">
      <c r="A315" s="10"/>
      <c r="B315" s="10"/>
      <c r="C315" s="10"/>
      <c r="D315" s="10"/>
      <c r="E315" s="10"/>
      <c r="F315" s="10" t="s">
        <v>171</v>
      </c>
      <c r="G315" s="22" t="s">
        <v>988</v>
      </c>
      <c r="H315" s="10"/>
      <c r="I315" s="10"/>
      <c r="J315" s="10"/>
      <c r="K315" s="10"/>
      <c r="L315" s="10"/>
      <c r="M315" s="10"/>
      <c r="N315" s="10"/>
    </row>
    <row r="316" customFormat="false" ht="15" hidden="false" customHeight="true" outlineLevel="0" collapsed="false">
      <c r="A316" s="10"/>
      <c r="B316" s="10"/>
      <c r="C316" s="10"/>
      <c r="D316" s="10"/>
      <c r="E316" s="10"/>
      <c r="F316" s="10" t="s">
        <v>256</v>
      </c>
      <c r="G316" s="22" t="s">
        <v>989</v>
      </c>
      <c r="H316" s="10"/>
      <c r="I316" s="10"/>
      <c r="J316" s="10"/>
      <c r="K316" s="10"/>
      <c r="L316" s="10"/>
      <c r="M316" s="10"/>
      <c r="N316" s="10"/>
    </row>
    <row r="317" customFormat="false" ht="41.25" hidden="false" customHeight="true" outlineLevel="0" collapsed="false">
      <c r="A317" s="10" t="s">
        <v>990</v>
      </c>
      <c r="B317" s="10" t="s">
        <v>475</v>
      </c>
      <c r="C317" s="10" t="s">
        <v>991</v>
      </c>
      <c r="D317" s="10" t="s">
        <v>992</v>
      </c>
      <c r="E317" s="10" t="s">
        <v>281</v>
      </c>
      <c r="F317" s="10" t="s">
        <v>152</v>
      </c>
      <c r="G317" s="22" t="s">
        <v>993</v>
      </c>
      <c r="H317" s="10" t="s">
        <v>994</v>
      </c>
      <c r="I317" s="10" t="s">
        <v>995</v>
      </c>
      <c r="J317" s="10"/>
      <c r="K317" s="10" t="s">
        <v>106</v>
      </c>
      <c r="L317" s="10" t="s">
        <v>76</v>
      </c>
      <c r="M317" s="10" t="s">
        <v>86</v>
      </c>
      <c r="N317" s="10" t="s">
        <v>285</v>
      </c>
    </row>
    <row r="318" customFormat="false" ht="15" hidden="false" customHeight="true" outlineLevel="0" collapsed="false">
      <c r="A318" s="10"/>
      <c r="B318" s="10"/>
      <c r="C318" s="10"/>
      <c r="D318" s="10"/>
      <c r="E318" s="10"/>
      <c r="F318" s="10" t="s">
        <v>157</v>
      </c>
      <c r="G318" s="22" t="s">
        <v>996</v>
      </c>
      <c r="H318" s="10"/>
      <c r="I318" s="10"/>
      <c r="J318" s="10"/>
      <c r="K318" s="10"/>
      <c r="L318" s="10"/>
      <c r="M318" s="10"/>
      <c r="N318" s="10"/>
    </row>
    <row r="319" customFormat="false" ht="27.75" hidden="false" customHeight="true" outlineLevel="0" collapsed="false">
      <c r="A319" s="10" t="s">
        <v>997</v>
      </c>
      <c r="B319" s="10" t="s">
        <v>475</v>
      </c>
      <c r="C319" s="10" t="s">
        <v>998</v>
      </c>
      <c r="D319" s="10" t="s">
        <v>999</v>
      </c>
      <c r="E319" s="10" t="s">
        <v>1000</v>
      </c>
      <c r="F319" s="10" t="s">
        <v>152</v>
      </c>
      <c r="G319" s="22" t="s">
        <v>1001</v>
      </c>
      <c r="H319" s="10" t="s">
        <v>1002</v>
      </c>
      <c r="I319" s="10" t="s">
        <v>1003</v>
      </c>
      <c r="J319" s="10"/>
      <c r="K319" s="10" t="s">
        <v>105</v>
      </c>
      <c r="L319" s="10" t="s">
        <v>78</v>
      </c>
      <c r="M319" s="10" t="s">
        <v>82</v>
      </c>
      <c r="N319" s="10" t="s">
        <v>285</v>
      </c>
    </row>
    <row r="320" customFormat="false" ht="45" hidden="false" customHeight="true" outlineLevel="0" collapsed="false">
      <c r="A320" s="10"/>
      <c r="B320" s="10"/>
      <c r="C320" s="10"/>
      <c r="D320" s="10"/>
      <c r="E320" s="10"/>
      <c r="F320" s="10" t="s">
        <v>157</v>
      </c>
      <c r="G320" s="22" t="s">
        <v>1004</v>
      </c>
      <c r="H320" s="10"/>
      <c r="I320" s="10"/>
      <c r="J320" s="10"/>
      <c r="K320" s="10"/>
      <c r="L320" s="10"/>
      <c r="M320" s="10"/>
      <c r="N320" s="10"/>
    </row>
    <row r="321" customFormat="false" ht="15" hidden="false" customHeight="true" outlineLevel="0" collapsed="false">
      <c r="A321" s="10"/>
      <c r="B321" s="10"/>
      <c r="C321" s="10"/>
      <c r="D321" s="10"/>
      <c r="E321" s="10"/>
      <c r="F321" s="10" t="s">
        <v>159</v>
      </c>
      <c r="G321" s="22" t="s">
        <v>1005</v>
      </c>
      <c r="H321" s="10"/>
      <c r="I321" s="10"/>
      <c r="J321" s="10"/>
      <c r="K321" s="10"/>
      <c r="L321" s="10"/>
      <c r="M321" s="10"/>
      <c r="N321" s="10"/>
    </row>
    <row r="322" customFormat="false" ht="15" hidden="false" customHeight="true" outlineLevel="0" collapsed="false">
      <c r="A322" s="10"/>
      <c r="B322" s="10"/>
      <c r="C322" s="10"/>
      <c r="D322" s="10"/>
      <c r="E322" s="10"/>
      <c r="F322" s="10" t="s">
        <v>171</v>
      </c>
      <c r="G322" s="22" t="s">
        <v>1006</v>
      </c>
      <c r="H322" s="10"/>
      <c r="I322" s="10"/>
      <c r="J322" s="10"/>
      <c r="K322" s="10"/>
      <c r="L322" s="10"/>
      <c r="M322" s="10"/>
      <c r="N322" s="10"/>
    </row>
    <row r="323" customFormat="false" ht="27.75" hidden="false" customHeight="true" outlineLevel="0" collapsed="false">
      <c r="A323" s="10" t="s">
        <v>1007</v>
      </c>
      <c r="B323" s="10" t="s">
        <v>475</v>
      </c>
      <c r="C323" s="10" t="s">
        <v>353</v>
      </c>
      <c r="D323" s="10" t="s">
        <v>1008</v>
      </c>
      <c r="E323" s="10" t="s">
        <v>1009</v>
      </c>
      <c r="F323" s="10" t="s">
        <v>152</v>
      </c>
      <c r="G323" s="22" t="s">
        <v>1010</v>
      </c>
      <c r="H323" s="10" t="s">
        <v>1011</v>
      </c>
      <c r="I323" s="10" t="s">
        <v>1012</v>
      </c>
      <c r="J323" s="10"/>
      <c r="K323" s="10" t="s">
        <v>106</v>
      </c>
      <c r="L323" s="10" t="s">
        <v>76</v>
      </c>
      <c r="M323" s="10" t="s">
        <v>100</v>
      </c>
      <c r="N323" s="10" t="s">
        <v>285</v>
      </c>
    </row>
    <row r="324" customFormat="false" ht="30" hidden="false" customHeight="true" outlineLevel="0" collapsed="false">
      <c r="A324" s="10"/>
      <c r="B324" s="10"/>
      <c r="C324" s="10"/>
      <c r="D324" s="10"/>
      <c r="E324" s="10"/>
      <c r="F324" s="10" t="s">
        <v>157</v>
      </c>
      <c r="G324" s="22" t="s">
        <v>1013</v>
      </c>
      <c r="H324" s="10"/>
      <c r="I324" s="10"/>
      <c r="J324" s="10"/>
      <c r="K324" s="10"/>
      <c r="L324" s="10"/>
      <c r="M324" s="10"/>
      <c r="N324" s="10"/>
    </row>
    <row r="325" customFormat="false" ht="45" hidden="false" customHeight="true" outlineLevel="0" collapsed="false">
      <c r="A325" s="10"/>
      <c r="B325" s="10"/>
      <c r="C325" s="10"/>
      <c r="D325" s="10"/>
      <c r="E325" s="10"/>
      <c r="F325" s="10" t="s">
        <v>159</v>
      </c>
      <c r="G325" s="22" t="s">
        <v>1014</v>
      </c>
      <c r="H325" s="10"/>
      <c r="I325" s="10"/>
      <c r="J325" s="10"/>
      <c r="K325" s="10"/>
      <c r="L325" s="10"/>
      <c r="M325" s="10"/>
      <c r="N325" s="10"/>
    </row>
    <row r="326" customFormat="false" ht="15" hidden="false" customHeight="true" outlineLevel="0" collapsed="false">
      <c r="A326" s="10"/>
      <c r="B326" s="10"/>
      <c r="C326" s="10"/>
      <c r="D326" s="10"/>
      <c r="E326" s="10"/>
      <c r="F326" s="10" t="s">
        <v>171</v>
      </c>
      <c r="G326" s="22" t="s">
        <v>1015</v>
      </c>
      <c r="H326" s="10"/>
      <c r="I326" s="10"/>
      <c r="J326" s="10"/>
      <c r="K326" s="10"/>
      <c r="L326" s="10"/>
      <c r="M326" s="10"/>
      <c r="N326" s="10"/>
    </row>
    <row r="327" customFormat="false" ht="41.25" hidden="false" customHeight="true" outlineLevel="0" collapsed="false">
      <c r="A327" s="10" t="s">
        <v>1016</v>
      </c>
      <c r="B327" s="10" t="s">
        <v>475</v>
      </c>
      <c r="C327" s="10" t="s">
        <v>1017</v>
      </c>
      <c r="D327" s="10" t="s">
        <v>1018</v>
      </c>
      <c r="E327" s="10" t="s">
        <v>281</v>
      </c>
      <c r="F327" s="10" t="s">
        <v>152</v>
      </c>
      <c r="G327" s="22" t="s">
        <v>1019</v>
      </c>
      <c r="H327" s="10" t="s">
        <v>1020</v>
      </c>
      <c r="I327" s="10" t="s">
        <v>1021</v>
      </c>
      <c r="J327" s="10"/>
      <c r="K327" s="10" t="s">
        <v>106</v>
      </c>
      <c r="L327" s="10" t="s">
        <v>76</v>
      </c>
      <c r="M327" s="10" t="s">
        <v>82</v>
      </c>
      <c r="N327" s="10" t="s">
        <v>285</v>
      </c>
    </row>
    <row r="328" customFormat="false" ht="30" hidden="false" customHeight="true" outlineLevel="0" collapsed="false">
      <c r="A328" s="10"/>
      <c r="B328" s="10"/>
      <c r="C328" s="10"/>
      <c r="D328" s="10"/>
      <c r="E328" s="10"/>
      <c r="F328" s="10" t="s">
        <v>157</v>
      </c>
      <c r="G328" s="22" t="s">
        <v>1022</v>
      </c>
      <c r="H328" s="10"/>
      <c r="I328" s="10"/>
      <c r="J328" s="10"/>
      <c r="K328" s="10"/>
      <c r="L328" s="10"/>
      <c r="M328" s="10"/>
      <c r="N328" s="10"/>
    </row>
    <row r="329" customFormat="false" ht="30" hidden="false" customHeight="true" outlineLevel="0" collapsed="false">
      <c r="A329" s="10"/>
      <c r="B329" s="10"/>
      <c r="C329" s="10"/>
      <c r="D329" s="10"/>
      <c r="E329" s="10"/>
      <c r="F329" s="10" t="s">
        <v>159</v>
      </c>
      <c r="G329" s="22" t="s">
        <v>1023</v>
      </c>
      <c r="H329" s="10"/>
      <c r="I329" s="10"/>
      <c r="J329" s="10"/>
      <c r="K329" s="10"/>
      <c r="L329" s="10"/>
      <c r="M329" s="10"/>
      <c r="N329" s="10"/>
    </row>
    <row r="330" customFormat="false" ht="27.75" hidden="false" customHeight="true" outlineLevel="0" collapsed="false">
      <c r="A330" s="10" t="s">
        <v>1024</v>
      </c>
      <c r="B330" s="10" t="s">
        <v>475</v>
      </c>
      <c r="C330" s="10" t="s">
        <v>215</v>
      </c>
      <c r="D330" s="10" t="s">
        <v>1025</v>
      </c>
      <c r="E330" s="10" t="s">
        <v>1026</v>
      </c>
      <c r="F330" s="10" t="s">
        <v>152</v>
      </c>
      <c r="G330" s="22" t="s">
        <v>1027</v>
      </c>
      <c r="H330" s="11" t="s">
        <v>1028</v>
      </c>
      <c r="I330" s="10" t="s">
        <v>1029</v>
      </c>
      <c r="J330" s="11"/>
      <c r="K330" s="10" t="s">
        <v>105</v>
      </c>
      <c r="L330" s="10" t="s">
        <v>77</v>
      </c>
      <c r="M330" s="10" t="s">
        <v>92</v>
      </c>
      <c r="N330" s="10" t="s">
        <v>285</v>
      </c>
    </row>
    <row r="331" customFormat="false" ht="15" hidden="false" customHeight="true" outlineLevel="0" collapsed="false">
      <c r="A331" s="10"/>
      <c r="B331" s="10"/>
      <c r="C331" s="10"/>
      <c r="D331" s="10"/>
      <c r="E331" s="10"/>
      <c r="F331" s="10" t="s">
        <v>157</v>
      </c>
      <c r="G331" s="22" t="s">
        <v>1030</v>
      </c>
      <c r="H331" s="11"/>
      <c r="I331" s="11"/>
      <c r="J331" s="11"/>
      <c r="K331" s="10"/>
      <c r="L331" s="10"/>
      <c r="M331" s="10"/>
      <c r="N331" s="10"/>
    </row>
    <row r="332" customFormat="false" ht="15" hidden="false" customHeight="true" outlineLevel="0" collapsed="false">
      <c r="A332" s="10"/>
      <c r="B332" s="10"/>
      <c r="C332" s="10"/>
      <c r="D332" s="10"/>
      <c r="E332" s="10"/>
      <c r="F332" s="10" t="s">
        <v>159</v>
      </c>
      <c r="G332" s="22" t="s">
        <v>1031</v>
      </c>
      <c r="H332" s="11"/>
      <c r="I332" s="11"/>
      <c r="J332" s="11"/>
      <c r="K332" s="10"/>
      <c r="L332" s="10"/>
      <c r="M332" s="10"/>
      <c r="N332" s="10"/>
    </row>
    <row r="333" customFormat="false" ht="27.75" hidden="false" customHeight="true" outlineLevel="0" collapsed="false">
      <c r="A333" s="10" t="s">
        <v>1032</v>
      </c>
      <c r="B333" s="10" t="s">
        <v>475</v>
      </c>
      <c r="C333" s="10" t="s">
        <v>1033</v>
      </c>
      <c r="D333" s="10" t="s">
        <v>1034</v>
      </c>
      <c r="E333" s="10" t="s">
        <v>1035</v>
      </c>
      <c r="F333" s="10" t="s">
        <v>152</v>
      </c>
      <c r="G333" s="22" t="s">
        <v>1036</v>
      </c>
      <c r="H333" s="10" t="s">
        <v>1037</v>
      </c>
      <c r="I333" s="10" t="s">
        <v>1038</v>
      </c>
      <c r="J333" s="10"/>
      <c r="K333" s="10" t="s">
        <v>106</v>
      </c>
      <c r="L333" s="10" t="s">
        <v>78</v>
      </c>
      <c r="M333" s="10" t="s">
        <v>98</v>
      </c>
      <c r="N333" s="10" t="s">
        <v>285</v>
      </c>
    </row>
    <row r="334" customFormat="false" ht="30" hidden="false" customHeight="true" outlineLevel="0" collapsed="false">
      <c r="A334" s="10"/>
      <c r="B334" s="10"/>
      <c r="C334" s="10"/>
      <c r="D334" s="10"/>
      <c r="E334" s="10"/>
      <c r="F334" s="10" t="s">
        <v>157</v>
      </c>
      <c r="G334" s="22" t="s">
        <v>1039</v>
      </c>
      <c r="H334" s="10"/>
      <c r="I334" s="10"/>
      <c r="J334" s="10"/>
      <c r="K334" s="10"/>
      <c r="L334" s="10"/>
      <c r="M334" s="10"/>
      <c r="N334" s="10"/>
    </row>
    <row r="335" customFormat="false" ht="30" hidden="false" customHeight="true" outlineLevel="0" collapsed="false">
      <c r="A335" s="10"/>
      <c r="B335" s="10"/>
      <c r="C335" s="10"/>
      <c r="D335" s="10"/>
      <c r="E335" s="10"/>
      <c r="F335" s="10" t="s">
        <v>159</v>
      </c>
      <c r="G335" s="22" t="s">
        <v>1040</v>
      </c>
      <c r="H335" s="10"/>
      <c r="I335" s="10"/>
      <c r="J335" s="10"/>
      <c r="K335" s="10"/>
      <c r="L335" s="10"/>
      <c r="M335" s="10"/>
      <c r="N335" s="10"/>
    </row>
    <row r="336" customFormat="false" ht="15" hidden="false" customHeight="true" outlineLevel="0" collapsed="false">
      <c r="A336" s="10"/>
      <c r="B336" s="10"/>
      <c r="C336" s="10"/>
      <c r="D336" s="10"/>
      <c r="E336" s="10"/>
      <c r="F336" s="10" t="s">
        <v>171</v>
      </c>
      <c r="G336" s="22" t="s">
        <v>1041</v>
      </c>
      <c r="H336" s="10"/>
      <c r="I336" s="10"/>
      <c r="J336" s="10"/>
      <c r="K336" s="10"/>
      <c r="L336" s="10"/>
      <c r="M336" s="10"/>
      <c r="N336" s="10"/>
    </row>
    <row r="337" customFormat="false" ht="15" hidden="false" customHeight="true" outlineLevel="0" collapsed="false">
      <c r="A337" s="10" t="s">
        <v>1042</v>
      </c>
      <c r="B337" s="10" t="s">
        <v>475</v>
      </c>
      <c r="C337" s="10" t="s">
        <v>260</v>
      </c>
      <c r="D337" s="10" t="s">
        <v>1043</v>
      </c>
      <c r="E337" s="10" t="s">
        <v>1044</v>
      </c>
      <c r="F337" s="10" t="s">
        <v>152</v>
      </c>
      <c r="G337" s="22" t="s">
        <v>1045</v>
      </c>
      <c r="H337" s="10" t="s">
        <v>1046</v>
      </c>
      <c r="I337" s="10" t="s">
        <v>1047</v>
      </c>
      <c r="J337" s="11"/>
      <c r="K337" s="10" t="s">
        <v>105</v>
      </c>
      <c r="L337" s="10" t="s">
        <v>76</v>
      </c>
      <c r="M337" s="10" t="s">
        <v>86</v>
      </c>
      <c r="N337" s="10" t="s">
        <v>156</v>
      </c>
    </row>
    <row r="338" customFormat="false" ht="15" hidden="false" customHeight="true" outlineLevel="0" collapsed="false">
      <c r="A338" s="10"/>
      <c r="B338" s="10"/>
      <c r="C338" s="10"/>
      <c r="D338" s="10"/>
      <c r="E338" s="10"/>
      <c r="F338" s="10" t="s">
        <v>157</v>
      </c>
      <c r="G338" s="22" t="s">
        <v>1048</v>
      </c>
      <c r="H338" s="10"/>
      <c r="I338" s="10"/>
      <c r="J338" s="10"/>
      <c r="K338" s="10"/>
      <c r="L338" s="10"/>
      <c r="M338" s="10"/>
      <c r="N338" s="10"/>
    </row>
    <row r="339" customFormat="false" ht="15" hidden="false" customHeight="true" outlineLevel="0" collapsed="false">
      <c r="A339" s="10"/>
      <c r="B339" s="10"/>
      <c r="C339" s="10"/>
      <c r="D339" s="10"/>
      <c r="E339" s="10"/>
      <c r="F339" s="10" t="s">
        <v>159</v>
      </c>
      <c r="G339" s="22" t="s">
        <v>1049</v>
      </c>
      <c r="H339" s="10"/>
      <c r="I339" s="10"/>
      <c r="J339" s="10"/>
      <c r="K339" s="10"/>
      <c r="L339" s="10"/>
      <c r="M339" s="10"/>
      <c r="N339" s="10"/>
    </row>
    <row r="340" customFormat="false" ht="30" hidden="false" customHeight="true" outlineLevel="0" collapsed="false">
      <c r="A340" s="10"/>
      <c r="B340" s="10"/>
      <c r="C340" s="10"/>
      <c r="D340" s="10"/>
      <c r="E340" s="10"/>
      <c r="F340" s="10" t="s">
        <v>171</v>
      </c>
      <c r="G340" s="22" t="s">
        <v>1050</v>
      </c>
      <c r="H340" s="10"/>
      <c r="I340" s="10"/>
      <c r="J340" s="10"/>
      <c r="K340" s="10"/>
      <c r="L340" s="10"/>
      <c r="M340" s="10"/>
      <c r="N340" s="10"/>
    </row>
    <row r="341" customFormat="false" ht="41.25" hidden="false" customHeight="true" outlineLevel="0" collapsed="false">
      <c r="A341" s="10" t="s">
        <v>1051</v>
      </c>
      <c r="B341" s="10" t="s">
        <v>475</v>
      </c>
      <c r="C341" s="10" t="s">
        <v>1052</v>
      </c>
      <c r="D341" s="10" t="s">
        <v>1053</v>
      </c>
      <c r="E341" s="10" t="s">
        <v>1054</v>
      </c>
      <c r="F341" s="10" t="s">
        <v>152</v>
      </c>
      <c r="G341" s="22" t="s">
        <v>1055</v>
      </c>
      <c r="H341" s="10" t="s">
        <v>1056</v>
      </c>
      <c r="I341" s="10" t="s">
        <v>1057</v>
      </c>
      <c r="J341" s="10"/>
      <c r="K341" s="10" t="s">
        <v>106</v>
      </c>
      <c r="L341" s="10" t="s">
        <v>78</v>
      </c>
      <c r="M341" s="10" t="s">
        <v>82</v>
      </c>
      <c r="N341" s="10" t="s">
        <v>285</v>
      </c>
    </row>
    <row r="342" customFormat="false" ht="30" hidden="false" customHeight="true" outlineLevel="0" collapsed="false">
      <c r="A342" s="10"/>
      <c r="B342" s="10"/>
      <c r="C342" s="10"/>
      <c r="D342" s="10"/>
      <c r="E342" s="10"/>
      <c r="F342" s="10" t="s">
        <v>157</v>
      </c>
      <c r="G342" s="22" t="s">
        <v>1058</v>
      </c>
      <c r="H342" s="10"/>
      <c r="I342" s="10"/>
      <c r="J342" s="10"/>
      <c r="K342" s="10"/>
      <c r="L342" s="10"/>
      <c r="M342" s="10"/>
      <c r="N342" s="10"/>
    </row>
    <row r="343" customFormat="false" ht="15" hidden="false" customHeight="true" outlineLevel="0" collapsed="false">
      <c r="A343" s="10"/>
      <c r="B343" s="10"/>
      <c r="C343" s="10"/>
      <c r="D343" s="10"/>
      <c r="E343" s="10"/>
      <c r="F343" s="10" t="s">
        <v>159</v>
      </c>
      <c r="G343" s="22" t="s">
        <v>1059</v>
      </c>
      <c r="H343" s="10"/>
      <c r="I343" s="10"/>
      <c r="J343" s="10"/>
      <c r="K343" s="10"/>
      <c r="L343" s="10"/>
      <c r="M343" s="10"/>
      <c r="N343" s="10"/>
    </row>
    <row r="344" customFormat="false" ht="15" hidden="false" customHeight="true" outlineLevel="0" collapsed="false">
      <c r="A344" s="10" t="s">
        <v>1060</v>
      </c>
      <c r="B344" s="10" t="s">
        <v>475</v>
      </c>
      <c r="C344" s="10" t="s">
        <v>424</v>
      </c>
      <c r="D344" s="10" t="s">
        <v>1061</v>
      </c>
      <c r="E344" s="10" t="s">
        <v>281</v>
      </c>
      <c r="F344" s="10" t="s">
        <v>152</v>
      </c>
      <c r="G344" s="22" t="s">
        <v>1062</v>
      </c>
      <c r="H344" s="10" t="s">
        <v>1063</v>
      </c>
      <c r="I344" s="10" t="s">
        <v>1064</v>
      </c>
      <c r="J344" s="10"/>
      <c r="K344" s="10" t="s">
        <v>105</v>
      </c>
      <c r="L344" s="10" t="s">
        <v>76</v>
      </c>
      <c r="M344" s="10" t="s">
        <v>102</v>
      </c>
      <c r="N344" s="10" t="s">
        <v>285</v>
      </c>
    </row>
    <row r="345" customFormat="false" ht="15" hidden="false" customHeight="true" outlineLevel="0" collapsed="false">
      <c r="A345" s="10"/>
      <c r="B345" s="10"/>
      <c r="C345" s="10"/>
      <c r="D345" s="10"/>
      <c r="E345" s="10"/>
      <c r="F345" s="10" t="s">
        <v>157</v>
      </c>
      <c r="G345" s="22" t="s">
        <v>1065</v>
      </c>
      <c r="H345" s="10"/>
      <c r="I345" s="10"/>
      <c r="J345" s="10"/>
      <c r="K345" s="10"/>
      <c r="L345" s="10"/>
      <c r="M345" s="10"/>
      <c r="N345" s="10"/>
    </row>
    <row r="346" customFormat="false" ht="15" hidden="false" customHeight="true" outlineLevel="0" collapsed="false">
      <c r="A346" s="10"/>
      <c r="B346" s="10"/>
      <c r="C346" s="10"/>
      <c r="D346" s="10"/>
      <c r="E346" s="10"/>
      <c r="F346" s="10" t="s">
        <v>159</v>
      </c>
      <c r="G346" s="22" t="s">
        <v>1066</v>
      </c>
      <c r="H346" s="10"/>
      <c r="I346" s="10"/>
      <c r="J346" s="10"/>
      <c r="K346" s="10"/>
      <c r="L346" s="10"/>
      <c r="M346" s="10"/>
      <c r="N346" s="10"/>
    </row>
    <row r="347" customFormat="false" ht="15" hidden="false" customHeight="true" outlineLevel="0" collapsed="false">
      <c r="A347" s="10"/>
      <c r="B347" s="10"/>
      <c r="C347" s="10"/>
      <c r="D347" s="10"/>
      <c r="E347" s="10"/>
      <c r="F347" s="10" t="s">
        <v>171</v>
      </c>
      <c r="G347" s="22" t="s">
        <v>1067</v>
      </c>
      <c r="H347" s="10"/>
      <c r="I347" s="10"/>
      <c r="J347" s="10"/>
      <c r="K347" s="10"/>
      <c r="L347" s="10"/>
      <c r="M347" s="10"/>
      <c r="N347" s="10"/>
    </row>
    <row r="348" customFormat="false" ht="15" hidden="false" customHeight="true" outlineLevel="0" collapsed="false">
      <c r="A348" s="10"/>
      <c r="B348" s="10"/>
      <c r="C348" s="10"/>
      <c r="D348" s="10"/>
      <c r="E348" s="10"/>
      <c r="F348" s="10" t="s">
        <v>256</v>
      </c>
      <c r="G348" s="22" t="s">
        <v>1068</v>
      </c>
      <c r="H348" s="10"/>
      <c r="I348" s="10"/>
      <c r="J348" s="10"/>
      <c r="K348" s="10"/>
      <c r="L348" s="10"/>
      <c r="M348" s="10"/>
      <c r="N348" s="10"/>
    </row>
    <row r="349" customFormat="false" ht="15" hidden="false" customHeight="true" outlineLevel="0" collapsed="false">
      <c r="A349" s="10"/>
      <c r="B349" s="10"/>
      <c r="C349" s="10"/>
      <c r="D349" s="10"/>
      <c r="E349" s="10"/>
      <c r="F349" s="10" t="s">
        <v>433</v>
      </c>
      <c r="G349" s="22" t="s">
        <v>1069</v>
      </c>
      <c r="H349" s="10"/>
      <c r="I349" s="10"/>
      <c r="J349" s="10"/>
      <c r="K349" s="10"/>
      <c r="L349" s="10"/>
      <c r="M349" s="10"/>
      <c r="N349" s="10"/>
    </row>
  </sheetData>
  <autoFilter ref="A1:N349"/>
  <mergeCells count="1343">
    <mergeCell ref="A2:A4"/>
    <mergeCell ref="B2:B4"/>
    <mergeCell ref="C2:C4"/>
    <mergeCell ref="D2:D4"/>
    <mergeCell ref="E2:E4"/>
    <mergeCell ref="H2:H4"/>
    <mergeCell ref="I2:I4"/>
    <mergeCell ref="J2:J4"/>
    <mergeCell ref="K2:K4"/>
    <mergeCell ref="L2:L4"/>
    <mergeCell ref="M2:M4"/>
    <mergeCell ref="N2:N4"/>
    <mergeCell ref="A5:A8"/>
    <mergeCell ref="B5:B8"/>
    <mergeCell ref="C5:C8"/>
    <mergeCell ref="D5:D8"/>
    <mergeCell ref="E5:E8"/>
    <mergeCell ref="H5:H8"/>
    <mergeCell ref="I5:I8"/>
    <mergeCell ref="J5:J8"/>
    <mergeCell ref="K5:K8"/>
    <mergeCell ref="L5:L8"/>
    <mergeCell ref="M5:M8"/>
    <mergeCell ref="N5:N8"/>
    <mergeCell ref="A9:A12"/>
    <mergeCell ref="B9:B12"/>
    <mergeCell ref="C9:C12"/>
    <mergeCell ref="D9:D12"/>
    <mergeCell ref="E9:E12"/>
    <mergeCell ref="H9:H12"/>
    <mergeCell ref="I9:I12"/>
    <mergeCell ref="J9:J12"/>
    <mergeCell ref="K9:K12"/>
    <mergeCell ref="L9:L12"/>
    <mergeCell ref="M9:M12"/>
    <mergeCell ref="N9:N12"/>
    <mergeCell ref="A13:A16"/>
    <mergeCell ref="B13:B16"/>
    <mergeCell ref="C13:C16"/>
    <mergeCell ref="D13:D16"/>
    <mergeCell ref="E13:E16"/>
    <mergeCell ref="H13:H16"/>
    <mergeCell ref="I13:I16"/>
    <mergeCell ref="J13:J16"/>
    <mergeCell ref="K13:K16"/>
    <mergeCell ref="L13:L16"/>
    <mergeCell ref="M13:M16"/>
    <mergeCell ref="N13:N16"/>
    <mergeCell ref="A17:A18"/>
    <mergeCell ref="B17:B18"/>
    <mergeCell ref="C17:C18"/>
    <mergeCell ref="D17:D18"/>
    <mergeCell ref="E17:E18"/>
    <mergeCell ref="H17:H18"/>
    <mergeCell ref="I17:I18"/>
    <mergeCell ref="J17:J18"/>
    <mergeCell ref="K17:K18"/>
    <mergeCell ref="L17:L18"/>
    <mergeCell ref="M17:M18"/>
    <mergeCell ref="N17:N18"/>
    <mergeCell ref="A19:A21"/>
    <mergeCell ref="B19:B21"/>
    <mergeCell ref="C19:C21"/>
    <mergeCell ref="D19:D21"/>
    <mergeCell ref="E19:E21"/>
    <mergeCell ref="H19:H21"/>
    <mergeCell ref="I19:I21"/>
    <mergeCell ref="J19:J21"/>
    <mergeCell ref="K19:K21"/>
    <mergeCell ref="L19:L21"/>
    <mergeCell ref="M19:M21"/>
    <mergeCell ref="N19:N21"/>
    <mergeCell ref="A22:A23"/>
    <mergeCell ref="B22:B23"/>
    <mergeCell ref="C22:C23"/>
    <mergeCell ref="D22:D23"/>
    <mergeCell ref="E22:E23"/>
    <mergeCell ref="H22:H23"/>
    <mergeCell ref="I22:I23"/>
    <mergeCell ref="J22:J23"/>
    <mergeCell ref="K22:K23"/>
    <mergeCell ref="L22:L23"/>
    <mergeCell ref="M22:M23"/>
    <mergeCell ref="N22:N23"/>
    <mergeCell ref="A24:A26"/>
    <mergeCell ref="B24:B26"/>
    <mergeCell ref="C24:C26"/>
    <mergeCell ref="D24:D26"/>
    <mergeCell ref="E24:E26"/>
    <mergeCell ref="H24:H26"/>
    <mergeCell ref="I24:I26"/>
    <mergeCell ref="J24:J26"/>
    <mergeCell ref="K24:K26"/>
    <mergeCell ref="L24:L26"/>
    <mergeCell ref="M24:M26"/>
    <mergeCell ref="N24:N26"/>
    <mergeCell ref="A27:A29"/>
    <mergeCell ref="B27:B29"/>
    <mergeCell ref="C27:C29"/>
    <mergeCell ref="D27:D29"/>
    <mergeCell ref="E27:E29"/>
    <mergeCell ref="H27:H29"/>
    <mergeCell ref="I27:I29"/>
    <mergeCell ref="J27:J29"/>
    <mergeCell ref="K27:K29"/>
    <mergeCell ref="L27:L29"/>
    <mergeCell ref="M27:M29"/>
    <mergeCell ref="N27:N29"/>
    <mergeCell ref="A30:A31"/>
    <mergeCell ref="B30:B31"/>
    <mergeCell ref="C30:C31"/>
    <mergeCell ref="D30:D31"/>
    <mergeCell ref="E30:E31"/>
    <mergeCell ref="H30:H31"/>
    <mergeCell ref="I30:I31"/>
    <mergeCell ref="J30:J31"/>
    <mergeCell ref="K30:K31"/>
    <mergeCell ref="L30:L31"/>
    <mergeCell ref="M30:M31"/>
    <mergeCell ref="N30:N31"/>
    <mergeCell ref="A32:A36"/>
    <mergeCell ref="B32:B36"/>
    <mergeCell ref="C32:C36"/>
    <mergeCell ref="D32:D36"/>
    <mergeCell ref="E32:E36"/>
    <mergeCell ref="H32:H36"/>
    <mergeCell ref="I32:I36"/>
    <mergeCell ref="J32:J36"/>
    <mergeCell ref="K32:K36"/>
    <mergeCell ref="L32:L36"/>
    <mergeCell ref="M32:M36"/>
    <mergeCell ref="N32:N36"/>
    <mergeCell ref="A37:A40"/>
    <mergeCell ref="B37:B40"/>
    <mergeCell ref="C37:C40"/>
    <mergeCell ref="D37:D40"/>
    <mergeCell ref="E37:E40"/>
    <mergeCell ref="H37:H40"/>
    <mergeCell ref="I37:I40"/>
    <mergeCell ref="J37:J40"/>
    <mergeCell ref="K37:K40"/>
    <mergeCell ref="L37:L40"/>
    <mergeCell ref="M37:M40"/>
    <mergeCell ref="N37:N40"/>
    <mergeCell ref="A41:A42"/>
    <mergeCell ref="B41:B42"/>
    <mergeCell ref="C41:C42"/>
    <mergeCell ref="D41:D42"/>
    <mergeCell ref="E41:E42"/>
    <mergeCell ref="H41:H42"/>
    <mergeCell ref="I41:I42"/>
    <mergeCell ref="J41:J42"/>
    <mergeCell ref="K41:K42"/>
    <mergeCell ref="L41:L42"/>
    <mergeCell ref="M41:M42"/>
    <mergeCell ref="N41:N42"/>
    <mergeCell ref="A43:A45"/>
    <mergeCell ref="B43:B45"/>
    <mergeCell ref="C43:C45"/>
    <mergeCell ref="D43:D45"/>
    <mergeCell ref="E43:E45"/>
    <mergeCell ref="H43:H45"/>
    <mergeCell ref="I43:I45"/>
    <mergeCell ref="J43:J45"/>
    <mergeCell ref="K43:K45"/>
    <mergeCell ref="L43:L45"/>
    <mergeCell ref="M43:M45"/>
    <mergeCell ref="N43:N45"/>
    <mergeCell ref="A46:A48"/>
    <mergeCell ref="B46:B48"/>
    <mergeCell ref="C46:C48"/>
    <mergeCell ref="D46:D48"/>
    <mergeCell ref="E46:E48"/>
    <mergeCell ref="H46:H48"/>
    <mergeCell ref="I46:I48"/>
    <mergeCell ref="J46:J48"/>
    <mergeCell ref="K46:K48"/>
    <mergeCell ref="L46:L48"/>
    <mergeCell ref="M46:M48"/>
    <mergeCell ref="N46:N48"/>
    <mergeCell ref="A49:A50"/>
    <mergeCell ref="B49:B50"/>
    <mergeCell ref="C49:C50"/>
    <mergeCell ref="D49:D50"/>
    <mergeCell ref="E49:E50"/>
    <mergeCell ref="H49:H50"/>
    <mergeCell ref="I49:I50"/>
    <mergeCell ref="J49:J50"/>
    <mergeCell ref="K49:K50"/>
    <mergeCell ref="L49:L50"/>
    <mergeCell ref="M49:M50"/>
    <mergeCell ref="N49:N50"/>
    <mergeCell ref="A51:A53"/>
    <mergeCell ref="B51:B53"/>
    <mergeCell ref="C51:C53"/>
    <mergeCell ref="D51:D53"/>
    <mergeCell ref="E51:E53"/>
    <mergeCell ref="H51:H53"/>
    <mergeCell ref="I51:I53"/>
    <mergeCell ref="J51:J53"/>
    <mergeCell ref="K51:K53"/>
    <mergeCell ref="L51:L53"/>
    <mergeCell ref="M51:M53"/>
    <mergeCell ref="N51:N53"/>
    <mergeCell ref="A54:A56"/>
    <mergeCell ref="B54:B56"/>
    <mergeCell ref="C54:C56"/>
    <mergeCell ref="D54:D56"/>
    <mergeCell ref="E54:E56"/>
    <mergeCell ref="H54:H56"/>
    <mergeCell ref="I54:I56"/>
    <mergeCell ref="J54:J56"/>
    <mergeCell ref="K54:K56"/>
    <mergeCell ref="L54:L56"/>
    <mergeCell ref="M54:M56"/>
    <mergeCell ref="N54:N56"/>
    <mergeCell ref="A57:A59"/>
    <mergeCell ref="B57:B59"/>
    <mergeCell ref="C57:C59"/>
    <mergeCell ref="D57:D59"/>
    <mergeCell ref="E57:E59"/>
    <mergeCell ref="H57:H59"/>
    <mergeCell ref="I57:I59"/>
    <mergeCell ref="J57:J59"/>
    <mergeCell ref="K57:K59"/>
    <mergeCell ref="L57:L59"/>
    <mergeCell ref="M57:M59"/>
    <mergeCell ref="N57:N59"/>
    <mergeCell ref="A60:A62"/>
    <mergeCell ref="B60:B62"/>
    <mergeCell ref="C60:C62"/>
    <mergeCell ref="D60:D62"/>
    <mergeCell ref="E60:E62"/>
    <mergeCell ref="H60:H62"/>
    <mergeCell ref="I60:I62"/>
    <mergeCell ref="J60:J62"/>
    <mergeCell ref="K60:K62"/>
    <mergeCell ref="L60:L62"/>
    <mergeCell ref="M60:M62"/>
    <mergeCell ref="N60:N62"/>
    <mergeCell ref="A63:A65"/>
    <mergeCell ref="B63:B65"/>
    <mergeCell ref="C63:C65"/>
    <mergeCell ref="D63:D65"/>
    <mergeCell ref="E63:E65"/>
    <mergeCell ref="H63:H65"/>
    <mergeCell ref="I63:I65"/>
    <mergeCell ref="J63:J65"/>
    <mergeCell ref="K63:K65"/>
    <mergeCell ref="L63:L65"/>
    <mergeCell ref="M63:M65"/>
    <mergeCell ref="N63:N65"/>
    <mergeCell ref="A66:A68"/>
    <mergeCell ref="B66:B68"/>
    <mergeCell ref="C66:C68"/>
    <mergeCell ref="D66:D68"/>
    <mergeCell ref="E66:E68"/>
    <mergeCell ref="H66:H68"/>
    <mergeCell ref="I66:I68"/>
    <mergeCell ref="J66:J68"/>
    <mergeCell ref="K66:K68"/>
    <mergeCell ref="L66:L68"/>
    <mergeCell ref="M66:M68"/>
    <mergeCell ref="N66:N68"/>
    <mergeCell ref="A69:A71"/>
    <mergeCell ref="B69:B71"/>
    <mergeCell ref="C69:C71"/>
    <mergeCell ref="D69:D71"/>
    <mergeCell ref="E69:E71"/>
    <mergeCell ref="H69:H71"/>
    <mergeCell ref="I69:I71"/>
    <mergeCell ref="J69:J71"/>
    <mergeCell ref="K69:K71"/>
    <mergeCell ref="L69:L71"/>
    <mergeCell ref="M69:M71"/>
    <mergeCell ref="N69:N71"/>
    <mergeCell ref="A72:A73"/>
    <mergeCell ref="B72:B73"/>
    <mergeCell ref="C72:C73"/>
    <mergeCell ref="D72:D73"/>
    <mergeCell ref="E72:E73"/>
    <mergeCell ref="H72:H73"/>
    <mergeCell ref="I72:I73"/>
    <mergeCell ref="J72:J73"/>
    <mergeCell ref="K72:K73"/>
    <mergeCell ref="L72:L73"/>
    <mergeCell ref="M72:M73"/>
    <mergeCell ref="N72:N73"/>
    <mergeCell ref="A74:A76"/>
    <mergeCell ref="B74:B76"/>
    <mergeCell ref="C74:C76"/>
    <mergeCell ref="D74:D76"/>
    <mergeCell ref="E74:E76"/>
    <mergeCell ref="H74:H76"/>
    <mergeCell ref="I74:I76"/>
    <mergeCell ref="J74:J76"/>
    <mergeCell ref="K74:K76"/>
    <mergeCell ref="L74:L76"/>
    <mergeCell ref="M74:M76"/>
    <mergeCell ref="N74:N76"/>
    <mergeCell ref="A77:A79"/>
    <mergeCell ref="B77:B79"/>
    <mergeCell ref="C77:C79"/>
    <mergeCell ref="D77:D79"/>
    <mergeCell ref="E77:E79"/>
    <mergeCell ref="H77:H79"/>
    <mergeCell ref="I77:I79"/>
    <mergeCell ref="J77:J79"/>
    <mergeCell ref="K77:K79"/>
    <mergeCell ref="L77:L79"/>
    <mergeCell ref="M77:M79"/>
    <mergeCell ref="N77:N79"/>
    <mergeCell ref="A80:A83"/>
    <mergeCell ref="B80:B83"/>
    <mergeCell ref="C80:C83"/>
    <mergeCell ref="D80:D83"/>
    <mergeCell ref="E80:E83"/>
    <mergeCell ref="H80:H83"/>
    <mergeCell ref="I80:I83"/>
    <mergeCell ref="J80:J83"/>
    <mergeCell ref="K80:K83"/>
    <mergeCell ref="L80:L83"/>
    <mergeCell ref="M80:M83"/>
    <mergeCell ref="N80:N83"/>
    <mergeCell ref="A84:A88"/>
    <mergeCell ref="B84:B88"/>
    <mergeCell ref="C84:C88"/>
    <mergeCell ref="D84:D88"/>
    <mergeCell ref="E84:E88"/>
    <mergeCell ref="H84:H88"/>
    <mergeCell ref="I84:I88"/>
    <mergeCell ref="J84:J88"/>
    <mergeCell ref="K84:K88"/>
    <mergeCell ref="L84:L88"/>
    <mergeCell ref="M84:M88"/>
    <mergeCell ref="N84:N88"/>
    <mergeCell ref="A89:A91"/>
    <mergeCell ref="B89:B91"/>
    <mergeCell ref="C89:C91"/>
    <mergeCell ref="D89:D91"/>
    <mergeCell ref="E89:E91"/>
    <mergeCell ref="H89:H91"/>
    <mergeCell ref="I89:I91"/>
    <mergeCell ref="J89:J91"/>
    <mergeCell ref="K89:K91"/>
    <mergeCell ref="L89:L91"/>
    <mergeCell ref="M89:M91"/>
    <mergeCell ref="N89:N91"/>
    <mergeCell ref="A92:A97"/>
    <mergeCell ref="B92:B97"/>
    <mergeCell ref="C92:C97"/>
    <mergeCell ref="D92:D97"/>
    <mergeCell ref="E92:E97"/>
    <mergeCell ref="H92:H97"/>
    <mergeCell ref="I92:I97"/>
    <mergeCell ref="K92:K97"/>
    <mergeCell ref="L92:L97"/>
    <mergeCell ref="M92:M97"/>
    <mergeCell ref="N92:N97"/>
    <mergeCell ref="A98:A99"/>
    <mergeCell ref="B98:B99"/>
    <mergeCell ref="C98:C99"/>
    <mergeCell ref="D98:D99"/>
    <mergeCell ref="E98:E99"/>
    <mergeCell ref="H98:H99"/>
    <mergeCell ref="I98:I99"/>
    <mergeCell ref="J98:J99"/>
    <mergeCell ref="K98:K99"/>
    <mergeCell ref="L98:L99"/>
    <mergeCell ref="M98:M99"/>
    <mergeCell ref="N98:N99"/>
    <mergeCell ref="A100:A101"/>
    <mergeCell ref="B100:B101"/>
    <mergeCell ref="C100:C101"/>
    <mergeCell ref="D100:D101"/>
    <mergeCell ref="E100:E101"/>
    <mergeCell ref="H100:H101"/>
    <mergeCell ref="I100:I101"/>
    <mergeCell ref="J100:J101"/>
    <mergeCell ref="K100:K101"/>
    <mergeCell ref="L100:L101"/>
    <mergeCell ref="M100:M101"/>
    <mergeCell ref="N100:N101"/>
    <mergeCell ref="A102:A103"/>
    <mergeCell ref="B102:B103"/>
    <mergeCell ref="C102:C103"/>
    <mergeCell ref="D102:D103"/>
    <mergeCell ref="E102:E103"/>
    <mergeCell ref="H102:H103"/>
    <mergeCell ref="I102:I103"/>
    <mergeCell ref="J102:J103"/>
    <mergeCell ref="K102:K103"/>
    <mergeCell ref="L102:L103"/>
    <mergeCell ref="M102:M103"/>
    <mergeCell ref="N102:N103"/>
    <mergeCell ref="A104:A106"/>
    <mergeCell ref="B104:B106"/>
    <mergeCell ref="C104:C106"/>
    <mergeCell ref="D104:D106"/>
    <mergeCell ref="E104:E106"/>
    <mergeCell ref="H104:H106"/>
    <mergeCell ref="I104:I106"/>
    <mergeCell ref="J104:J106"/>
    <mergeCell ref="K104:K106"/>
    <mergeCell ref="L104:L106"/>
    <mergeCell ref="M104:M106"/>
    <mergeCell ref="N104:N106"/>
    <mergeCell ref="A108:A111"/>
    <mergeCell ref="B108:B111"/>
    <mergeCell ref="C108:C111"/>
    <mergeCell ref="D108:D111"/>
    <mergeCell ref="E108:E111"/>
    <mergeCell ref="H108:H111"/>
    <mergeCell ref="I108:I111"/>
    <mergeCell ref="J108:J111"/>
    <mergeCell ref="K108:K111"/>
    <mergeCell ref="L108:L111"/>
    <mergeCell ref="M108:M111"/>
    <mergeCell ref="N108:N111"/>
    <mergeCell ref="A112:A115"/>
    <mergeCell ref="B112:B115"/>
    <mergeCell ref="C112:C115"/>
    <mergeCell ref="D112:D115"/>
    <mergeCell ref="E112:E115"/>
    <mergeCell ref="H112:H115"/>
    <mergeCell ref="I112:I115"/>
    <mergeCell ref="J112:J115"/>
    <mergeCell ref="K112:K115"/>
    <mergeCell ref="L112:L115"/>
    <mergeCell ref="M112:M115"/>
    <mergeCell ref="N112:N115"/>
    <mergeCell ref="A116:A119"/>
    <mergeCell ref="B116:B119"/>
    <mergeCell ref="C116:C119"/>
    <mergeCell ref="D116:D119"/>
    <mergeCell ref="E116:E119"/>
    <mergeCell ref="H116:H119"/>
    <mergeCell ref="I116:I119"/>
    <mergeCell ref="J116:J119"/>
    <mergeCell ref="K116:K119"/>
    <mergeCell ref="L116:L119"/>
    <mergeCell ref="M116:M119"/>
    <mergeCell ref="N116:N119"/>
    <mergeCell ref="A120:A122"/>
    <mergeCell ref="B120:B122"/>
    <mergeCell ref="C120:C122"/>
    <mergeCell ref="D120:D122"/>
    <mergeCell ref="E120:E122"/>
    <mergeCell ref="H120:H122"/>
    <mergeCell ref="I120:I122"/>
    <mergeCell ref="J120:J122"/>
    <mergeCell ref="K120:K122"/>
    <mergeCell ref="L120:L122"/>
    <mergeCell ref="M120:M122"/>
    <mergeCell ref="N120:N122"/>
    <mergeCell ref="A123:A125"/>
    <mergeCell ref="B123:B125"/>
    <mergeCell ref="C123:C125"/>
    <mergeCell ref="D123:D125"/>
    <mergeCell ref="E123:E125"/>
    <mergeCell ref="H123:H125"/>
    <mergeCell ref="I123:I125"/>
    <mergeCell ref="J123:J125"/>
    <mergeCell ref="K123:K125"/>
    <mergeCell ref="L123:L125"/>
    <mergeCell ref="M123:M125"/>
    <mergeCell ref="N123:N125"/>
    <mergeCell ref="A126:A128"/>
    <mergeCell ref="B126:B128"/>
    <mergeCell ref="C126:C128"/>
    <mergeCell ref="D126:D128"/>
    <mergeCell ref="E126:E128"/>
    <mergeCell ref="H126:H128"/>
    <mergeCell ref="I126:I128"/>
    <mergeCell ref="J126:J128"/>
    <mergeCell ref="K126:K128"/>
    <mergeCell ref="L126:L128"/>
    <mergeCell ref="M126:M128"/>
    <mergeCell ref="N126:N128"/>
    <mergeCell ref="A129:A131"/>
    <mergeCell ref="B129:B131"/>
    <mergeCell ref="C129:C131"/>
    <mergeCell ref="D129:D131"/>
    <mergeCell ref="E129:E131"/>
    <mergeCell ref="H129:H131"/>
    <mergeCell ref="I129:I131"/>
    <mergeCell ref="J129:J131"/>
    <mergeCell ref="K129:K131"/>
    <mergeCell ref="L129:L131"/>
    <mergeCell ref="M129:M131"/>
    <mergeCell ref="N129:N131"/>
    <mergeCell ref="A132:A134"/>
    <mergeCell ref="B132:B134"/>
    <mergeCell ref="C132:C134"/>
    <mergeCell ref="D132:D134"/>
    <mergeCell ref="E132:E134"/>
    <mergeCell ref="H132:H134"/>
    <mergeCell ref="I132:I134"/>
    <mergeCell ref="J132:J134"/>
    <mergeCell ref="K132:K134"/>
    <mergeCell ref="L132:L134"/>
    <mergeCell ref="M132:M134"/>
    <mergeCell ref="N132:N134"/>
    <mergeCell ref="A135:A136"/>
    <mergeCell ref="B135:B136"/>
    <mergeCell ref="C135:C136"/>
    <mergeCell ref="D135:D136"/>
    <mergeCell ref="E135:E136"/>
    <mergeCell ref="H135:H136"/>
    <mergeCell ref="I135:I136"/>
    <mergeCell ref="J135:J136"/>
    <mergeCell ref="K135:K136"/>
    <mergeCell ref="L135:L136"/>
    <mergeCell ref="M135:M136"/>
    <mergeCell ref="N135:N136"/>
    <mergeCell ref="A137:A139"/>
    <mergeCell ref="B137:B139"/>
    <mergeCell ref="C137:C139"/>
    <mergeCell ref="D137:D139"/>
    <mergeCell ref="E137:E139"/>
    <mergeCell ref="H137:H139"/>
    <mergeCell ref="I137:I139"/>
    <mergeCell ref="J137:J139"/>
    <mergeCell ref="K137:K139"/>
    <mergeCell ref="L137:L139"/>
    <mergeCell ref="M137:M139"/>
    <mergeCell ref="N137:N139"/>
    <mergeCell ref="A140:A142"/>
    <mergeCell ref="B140:B142"/>
    <mergeCell ref="C140:C142"/>
    <mergeCell ref="D140:D142"/>
    <mergeCell ref="E140:E142"/>
    <mergeCell ref="H140:H142"/>
    <mergeCell ref="I140:I142"/>
    <mergeCell ref="J140:J142"/>
    <mergeCell ref="K140:K142"/>
    <mergeCell ref="L140:L142"/>
    <mergeCell ref="M140:M142"/>
    <mergeCell ref="N140:N142"/>
    <mergeCell ref="A143:A145"/>
    <mergeCell ref="B143:B145"/>
    <mergeCell ref="C143:C145"/>
    <mergeCell ref="D143:D145"/>
    <mergeCell ref="E143:E145"/>
    <mergeCell ref="H143:H145"/>
    <mergeCell ref="I143:I145"/>
    <mergeCell ref="J143:J145"/>
    <mergeCell ref="K143:K145"/>
    <mergeCell ref="L143:L145"/>
    <mergeCell ref="M143:M145"/>
    <mergeCell ref="N143:N145"/>
    <mergeCell ref="A146:A147"/>
    <mergeCell ref="B146:B147"/>
    <mergeCell ref="C146:C147"/>
    <mergeCell ref="D146:D147"/>
    <mergeCell ref="E146:E147"/>
    <mergeCell ref="H146:H147"/>
    <mergeCell ref="I146:I147"/>
    <mergeCell ref="J146:J147"/>
    <mergeCell ref="K146:K147"/>
    <mergeCell ref="L146:L147"/>
    <mergeCell ref="M146:M147"/>
    <mergeCell ref="N146:N147"/>
    <mergeCell ref="A148:A149"/>
    <mergeCell ref="B148:B149"/>
    <mergeCell ref="C148:C149"/>
    <mergeCell ref="D148:D149"/>
    <mergeCell ref="E148:E149"/>
    <mergeCell ref="H148:H149"/>
    <mergeCell ref="I148:I149"/>
    <mergeCell ref="J148:J149"/>
    <mergeCell ref="K148:K149"/>
    <mergeCell ref="L148:L149"/>
    <mergeCell ref="M148:M149"/>
    <mergeCell ref="N148:N149"/>
    <mergeCell ref="A150:A153"/>
    <mergeCell ref="B150:B153"/>
    <mergeCell ref="C150:C153"/>
    <mergeCell ref="D150:D153"/>
    <mergeCell ref="E150:E153"/>
    <mergeCell ref="H150:H153"/>
    <mergeCell ref="I150:I153"/>
    <mergeCell ref="J150:J153"/>
    <mergeCell ref="K150:K153"/>
    <mergeCell ref="L150:L153"/>
    <mergeCell ref="M150:M153"/>
    <mergeCell ref="N150:N153"/>
    <mergeCell ref="A154:A156"/>
    <mergeCell ref="B154:B156"/>
    <mergeCell ref="C154:C156"/>
    <mergeCell ref="D154:D156"/>
    <mergeCell ref="E154:E156"/>
    <mergeCell ref="H154:H156"/>
    <mergeCell ref="I154:I156"/>
    <mergeCell ref="J154:J156"/>
    <mergeCell ref="K154:K156"/>
    <mergeCell ref="L154:L156"/>
    <mergeCell ref="M154:M156"/>
    <mergeCell ref="N154:N156"/>
    <mergeCell ref="A157:A159"/>
    <mergeCell ref="B157:B159"/>
    <mergeCell ref="C157:C159"/>
    <mergeCell ref="D157:D159"/>
    <mergeCell ref="E157:E159"/>
    <mergeCell ref="H157:H159"/>
    <mergeCell ref="I157:I159"/>
    <mergeCell ref="J157:J159"/>
    <mergeCell ref="K157:K159"/>
    <mergeCell ref="L157:L159"/>
    <mergeCell ref="M157:M159"/>
    <mergeCell ref="N157:N159"/>
    <mergeCell ref="A160:A162"/>
    <mergeCell ref="B160:B162"/>
    <mergeCell ref="C160:C162"/>
    <mergeCell ref="D160:D162"/>
    <mergeCell ref="E160:E162"/>
    <mergeCell ref="H160:H162"/>
    <mergeCell ref="I160:I162"/>
    <mergeCell ref="J160:J162"/>
    <mergeCell ref="K160:K162"/>
    <mergeCell ref="L160:L162"/>
    <mergeCell ref="M160:M162"/>
    <mergeCell ref="N160:N162"/>
    <mergeCell ref="A163:A165"/>
    <mergeCell ref="B163:B165"/>
    <mergeCell ref="C163:C165"/>
    <mergeCell ref="D163:D165"/>
    <mergeCell ref="E163:E165"/>
    <mergeCell ref="H163:H165"/>
    <mergeCell ref="I163:I165"/>
    <mergeCell ref="J163:J165"/>
    <mergeCell ref="K163:K165"/>
    <mergeCell ref="L163:L165"/>
    <mergeCell ref="M163:M165"/>
    <mergeCell ref="N163:N165"/>
    <mergeCell ref="A166:A169"/>
    <mergeCell ref="B166:B169"/>
    <mergeCell ref="C166:C169"/>
    <mergeCell ref="D166:D169"/>
    <mergeCell ref="E166:E169"/>
    <mergeCell ref="H166:H169"/>
    <mergeCell ref="I166:I169"/>
    <mergeCell ref="J166:J169"/>
    <mergeCell ref="K166:K169"/>
    <mergeCell ref="L166:L169"/>
    <mergeCell ref="M166:M169"/>
    <mergeCell ref="N166:N169"/>
    <mergeCell ref="A170:A172"/>
    <mergeCell ref="B170:B172"/>
    <mergeCell ref="C170:C172"/>
    <mergeCell ref="D170:D172"/>
    <mergeCell ref="E170:E172"/>
    <mergeCell ref="H170:H172"/>
    <mergeCell ref="I170:I172"/>
    <mergeCell ref="J170:J172"/>
    <mergeCell ref="K170:K172"/>
    <mergeCell ref="L170:L172"/>
    <mergeCell ref="M170:M172"/>
    <mergeCell ref="N170:N172"/>
    <mergeCell ref="A173:A175"/>
    <mergeCell ref="B173:B175"/>
    <mergeCell ref="C173:C175"/>
    <mergeCell ref="D173:D175"/>
    <mergeCell ref="E173:E175"/>
    <mergeCell ref="H173:H175"/>
    <mergeCell ref="I173:I175"/>
    <mergeCell ref="J173:J175"/>
    <mergeCell ref="K173:K175"/>
    <mergeCell ref="L173:L175"/>
    <mergeCell ref="M173:M175"/>
    <mergeCell ref="N173:N175"/>
    <mergeCell ref="A176:A178"/>
    <mergeCell ref="B176:B178"/>
    <mergeCell ref="C176:C178"/>
    <mergeCell ref="D176:D178"/>
    <mergeCell ref="E176:E178"/>
    <mergeCell ref="H176:H178"/>
    <mergeCell ref="I176:I178"/>
    <mergeCell ref="J176:J178"/>
    <mergeCell ref="K176:K178"/>
    <mergeCell ref="L176:L178"/>
    <mergeCell ref="M176:M178"/>
    <mergeCell ref="N176:N178"/>
    <mergeCell ref="A179:A180"/>
    <mergeCell ref="B179:B180"/>
    <mergeCell ref="C179:C180"/>
    <mergeCell ref="D179:D180"/>
    <mergeCell ref="E179:E180"/>
    <mergeCell ref="H179:H180"/>
    <mergeCell ref="I179:I180"/>
    <mergeCell ref="J179:J180"/>
    <mergeCell ref="K179:K180"/>
    <mergeCell ref="L179:L180"/>
    <mergeCell ref="M179:M180"/>
    <mergeCell ref="N179:N180"/>
    <mergeCell ref="A181:A183"/>
    <mergeCell ref="B181:B183"/>
    <mergeCell ref="C181:C183"/>
    <mergeCell ref="D181:D183"/>
    <mergeCell ref="E181:E183"/>
    <mergeCell ref="H181:H183"/>
    <mergeCell ref="I181:I183"/>
    <mergeCell ref="J181:J183"/>
    <mergeCell ref="K181:K183"/>
    <mergeCell ref="L181:L183"/>
    <mergeCell ref="M181:M183"/>
    <mergeCell ref="N181:N183"/>
    <mergeCell ref="A184:A186"/>
    <mergeCell ref="B184:B186"/>
    <mergeCell ref="C184:C186"/>
    <mergeCell ref="D184:D186"/>
    <mergeCell ref="E184:E186"/>
    <mergeCell ref="H184:H186"/>
    <mergeCell ref="I184:I186"/>
    <mergeCell ref="J184:J186"/>
    <mergeCell ref="K184:K186"/>
    <mergeCell ref="L184:L186"/>
    <mergeCell ref="M184:M186"/>
    <mergeCell ref="N184:N186"/>
    <mergeCell ref="A187:A188"/>
    <mergeCell ref="B187:B188"/>
    <mergeCell ref="C187:C188"/>
    <mergeCell ref="D187:D188"/>
    <mergeCell ref="E187:E188"/>
    <mergeCell ref="H187:H188"/>
    <mergeCell ref="I187:I188"/>
    <mergeCell ref="J187:J188"/>
    <mergeCell ref="K187:K188"/>
    <mergeCell ref="L187:L188"/>
    <mergeCell ref="M187:M188"/>
    <mergeCell ref="N187:N188"/>
    <mergeCell ref="A189:A190"/>
    <mergeCell ref="B189:B190"/>
    <mergeCell ref="C189:C190"/>
    <mergeCell ref="D189:D190"/>
    <mergeCell ref="E189:E190"/>
    <mergeCell ref="H189:H190"/>
    <mergeCell ref="I189:I190"/>
    <mergeCell ref="J189:J190"/>
    <mergeCell ref="K189:K190"/>
    <mergeCell ref="L189:L190"/>
    <mergeCell ref="M189:M190"/>
    <mergeCell ref="N189:N190"/>
    <mergeCell ref="A191:A193"/>
    <mergeCell ref="B191:B193"/>
    <mergeCell ref="C191:C193"/>
    <mergeCell ref="D191:D193"/>
    <mergeCell ref="E191:E193"/>
    <mergeCell ref="H191:H193"/>
    <mergeCell ref="I191:I193"/>
    <mergeCell ref="J191:J193"/>
    <mergeCell ref="K191:K193"/>
    <mergeCell ref="L191:L193"/>
    <mergeCell ref="M191:M193"/>
    <mergeCell ref="N191:N193"/>
    <mergeCell ref="A194:A196"/>
    <mergeCell ref="B194:B196"/>
    <mergeCell ref="C194:C196"/>
    <mergeCell ref="D194:D196"/>
    <mergeCell ref="E194:E196"/>
    <mergeCell ref="H194:H196"/>
    <mergeCell ref="I194:I196"/>
    <mergeCell ref="J194:J196"/>
    <mergeCell ref="K194:K196"/>
    <mergeCell ref="L194:L196"/>
    <mergeCell ref="M194:M196"/>
    <mergeCell ref="N194:N196"/>
    <mergeCell ref="A197:A198"/>
    <mergeCell ref="B197:B198"/>
    <mergeCell ref="C197:C198"/>
    <mergeCell ref="D197:D198"/>
    <mergeCell ref="E197:E198"/>
    <mergeCell ref="H197:H198"/>
    <mergeCell ref="I197:I198"/>
    <mergeCell ref="J197:J198"/>
    <mergeCell ref="K197:K198"/>
    <mergeCell ref="L197:L198"/>
    <mergeCell ref="M197:M198"/>
    <mergeCell ref="N197:N198"/>
    <mergeCell ref="A199:A201"/>
    <mergeCell ref="B199:B201"/>
    <mergeCell ref="C199:C201"/>
    <mergeCell ref="D199:D201"/>
    <mergeCell ref="E199:E201"/>
    <mergeCell ref="H199:H201"/>
    <mergeCell ref="I199:I201"/>
    <mergeCell ref="J199:J201"/>
    <mergeCell ref="K199:K201"/>
    <mergeCell ref="L199:L201"/>
    <mergeCell ref="M199:M201"/>
    <mergeCell ref="N199:N201"/>
    <mergeCell ref="A202:A204"/>
    <mergeCell ref="B202:B204"/>
    <mergeCell ref="C202:C204"/>
    <mergeCell ref="D202:D204"/>
    <mergeCell ref="E202:E204"/>
    <mergeCell ref="H202:H204"/>
    <mergeCell ref="I202:I204"/>
    <mergeCell ref="J202:J204"/>
    <mergeCell ref="K202:K204"/>
    <mergeCell ref="L202:L204"/>
    <mergeCell ref="M202:M204"/>
    <mergeCell ref="N202:N204"/>
    <mergeCell ref="A205:A207"/>
    <mergeCell ref="B205:B207"/>
    <mergeCell ref="C205:C207"/>
    <mergeCell ref="D205:D207"/>
    <mergeCell ref="E205:E207"/>
    <mergeCell ref="H205:H207"/>
    <mergeCell ref="I205:I207"/>
    <mergeCell ref="J205:J207"/>
    <mergeCell ref="K205:K207"/>
    <mergeCell ref="L205:L207"/>
    <mergeCell ref="M205:M207"/>
    <mergeCell ref="N205:N207"/>
    <mergeCell ref="A208:A210"/>
    <mergeCell ref="B208:B210"/>
    <mergeCell ref="C208:C210"/>
    <mergeCell ref="D208:D210"/>
    <mergeCell ref="E208:E210"/>
    <mergeCell ref="H208:H210"/>
    <mergeCell ref="I208:I210"/>
    <mergeCell ref="J208:J210"/>
    <mergeCell ref="K208:K210"/>
    <mergeCell ref="L208:L210"/>
    <mergeCell ref="M208:M210"/>
    <mergeCell ref="N208:N210"/>
    <mergeCell ref="A211:A212"/>
    <mergeCell ref="B211:B212"/>
    <mergeCell ref="C211:C212"/>
    <mergeCell ref="D211:D212"/>
    <mergeCell ref="E211:E212"/>
    <mergeCell ref="H211:H212"/>
    <mergeCell ref="I211:I212"/>
    <mergeCell ref="J211:J212"/>
    <mergeCell ref="K211:K212"/>
    <mergeCell ref="L211:L212"/>
    <mergeCell ref="M211:M212"/>
    <mergeCell ref="N211:N212"/>
    <mergeCell ref="A213:A216"/>
    <mergeCell ref="B213:B216"/>
    <mergeCell ref="C213:C216"/>
    <mergeCell ref="D213:D216"/>
    <mergeCell ref="E213:E216"/>
    <mergeCell ref="H213:H216"/>
    <mergeCell ref="I213:I216"/>
    <mergeCell ref="J213:J216"/>
    <mergeCell ref="K213:K216"/>
    <mergeCell ref="L213:L216"/>
    <mergeCell ref="M213:M216"/>
    <mergeCell ref="N213:N216"/>
    <mergeCell ref="A217:A220"/>
    <mergeCell ref="B217:B220"/>
    <mergeCell ref="C217:C220"/>
    <mergeCell ref="D217:D220"/>
    <mergeCell ref="E217:E220"/>
    <mergeCell ref="H217:H220"/>
    <mergeCell ref="I217:I220"/>
    <mergeCell ref="J217:J220"/>
    <mergeCell ref="K217:K220"/>
    <mergeCell ref="L217:L220"/>
    <mergeCell ref="M217:M220"/>
    <mergeCell ref="N217:N220"/>
    <mergeCell ref="A221:A224"/>
    <mergeCell ref="B221:B224"/>
    <mergeCell ref="C221:C224"/>
    <mergeCell ref="D221:D224"/>
    <mergeCell ref="E221:E224"/>
    <mergeCell ref="H221:H224"/>
    <mergeCell ref="I221:I224"/>
    <mergeCell ref="J221:J224"/>
    <mergeCell ref="K221:K224"/>
    <mergeCell ref="L221:L224"/>
    <mergeCell ref="M221:M224"/>
    <mergeCell ref="N221:N224"/>
    <mergeCell ref="A225:A227"/>
    <mergeCell ref="B225:B227"/>
    <mergeCell ref="C225:C227"/>
    <mergeCell ref="D225:D227"/>
    <mergeCell ref="E225:E227"/>
    <mergeCell ref="H225:H227"/>
    <mergeCell ref="I225:I227"/>
    <mergeCell ref="J225:J227"/>
    <mergeCell ref="K225:K227"/>
    <mergeCell ref="L225:L227"/>
    <mergeCell ref="M225:M227"/>
    <mergeCell ref="N225:N227"/>
    <mergeCell ref="A228:A230"/>
    <mergeCell ref="B228:B230"/>
    <mergeCell ref="C228:C230"/>
    <mergeCell ref="D228:D230"/>
    <mergeCell ref="E228:E230"/>
    <mergeCell ref="H228:H230"/>
    <mergeCell ref="I228:I230"/>
    <mergeCell ref="J228:J230"/>
    <mergeCell ref="K228:K230"/>
    <mergeCell ref="L228:L230"/>
    <mergeCell ref="M228:M230"/>
    <mergeCell ref="N228:N230"/>
    <mergeCell ref="A231:A233"/>
    <mergeCell ref="B231:B233"/>
    <mergeCell ref="C231:C233"/>
    <mergeCell ref="D231:D233"/>
    <mergeCell ref="E231:E233"/>
    <mergeCell ref="H231:H233"/>
    <mergeCell ref="I231:I233"/>
    <mergeCell ref="J231:J233"/>
    <mergeCell ref="K231:K233"/>
    <mergeCell ref="L231:L233"/>
    <mergeCell ref="M231:M233"/>
    <mergeCell ref="N231:N233"/>
    <mergeCell ref="A234:A235"/>
    <mergeCell ref="B234:B235"/>
    <mergeCell ref="C234:C235"/>
    <mergeCell ref="D234:D235"/>
    <mergeCell ref="E234:E235"/>
    <mergeCell ref="H234:H235"/>
    <mergeCell ref="I234:I235"/>
    <mergeCell ref="J234:J235"/>
    <mergeCell ref="K234:K235"/>
    <mergeCell ref="L234:L235"/>
    <mergeCell ref="M234:M235"/>
    <mergeCell ref="N234:N235"/>
    <mergeCell ref="A236:A238"/>
    <mergeCell ref="B236:B238"/>
    <mergeCell ref="C236:C238"/>
    <mergeCell ref="D236:D238"/>
    <mergeCell ref="E236:E238"/>
    <mergeCell ref="H236:H238"/>
    <mergeCell ref="I236:I238"/>
    <mergeCell ref="J236:J238"/>
    <mergeCell ref="K236:K238"/>
    <mergeCell ref="L236:L238"/>
    <mergeCell ref="M236:M238"/>
    <mergeCell ref="N236:N238"/>
    <mergeCell ref="A239:A240"/>
    <mergeCell ref="B239:B240"/>
    <mergeCell ref="C239:C240"/>
    <mergeCell ref="D239:D240"/>
    <mergeCell ref="E239:E240"/>
    <mergeCell ref="H239:H240"/>
    <mergeCell ref="I239:I240"/>
    <mergeCell ref="J239:J240"/>
    <mergeCell ref="K239:K240"/>
    <mergeCell ref="L239:L240"/>
    <mergeCell ref="M239:M240"/>
    <mergeCell ref="N239:N240"/>
    <mergeCell ref="A241:A243"/>
    <mergeCell ref="B241:B243"/>
    <mergeCell ref="C241:C243"/>
    <mergeCell ref="D241:D243"/>
    <mergeCell ref="E241:E243"/>
    <mergeCell ref="H241:H243"/>
    <mergeCell ref="I241:I243"/>
    <mergeCell ref="J241:J243"/>
    <mergeCell ref="K241:K243"/>
    <mergeCell ref="L241:L243"/>
    <mergeCell ref="M241:M243"/>
    <mergeCell ref="N241:N243"/>
    <mergeCell ref="A244:A246"/>
    <mergeCell ref="B244:B246"/>
    <mergeCell ref="C244:C246"/>
    <mergeCell ref="D244:D246"/>
    <mergeCell ref="E244:E246"/>
    <mergeCell ref="H244:H246"/>
    <mergeCell ref="I244:I246"/>
    <mergeCell ref="J244:J246"/>
    <mergeCell ref="K244:K246"/>
    <mergeCell ref="L244:L246"/>
    <mergeCell ref="M244:M246"/>
    <mergeCell ref="N244:N246"/>
    <mergeCell ref="A247:A250"/>
    <mergeCell ref="B247:B250"/>
    <mergeCell ref="C247:C250"/>
    <mergeCell ref="D247:D250"/>
    <mergeCell ref="E247:E250"/>
    <mergeCell ref="H247:H250"/>
    <mergeCell ref="I247:I250"/>
    <mergeCell ref="J247:J250"/>
    <mergeCell ref="K247:K250"/>
    <mergeCell ref="L247:L250"/>
    <mergeCell ref="M247:M250"/>
    <mergeCell ref="N247:N250"/>
    <mergeCell ref="A251:A253"/>
    <mergeCell ref="B251:B253"/>
    <mergeCell ref="C251:C253"/>
    <mergeCell ref="D251:D253"/>
    <mergeCell ref="E251:E253"/>
    <mergeCell ref="H251:H253"/>
    <mergeCell ref="I251:I253"/>
    <mergeCell ref="J251:J253"/>
    <mergeCell ref="K251:K253"/>
    <mergeCell ref="L251:L253"/>
    <mergeCell ref="M251:M253"/>
    <mergeCell ref="N251:N253"/>
    <mergeCell ref="A254:A255"/>
    <mergeCell ref="B254:B255"/>
    <mergeCell ref="C254:C255"/>
    <mergeCell ref="D254:D255"/>
    <mergeCell ref="E254:E255"/>
    <mergeCell ref="H254:H255"/>
    <mergeCell ref="I254:I255"/>
    <mergeCell ref="J254:J255"/>
    <mergeCell ref="K254:K255"/>
    <mergeCell ref="L254:L255"/>
    <mergeCell ref="M254:M255"/>
    <mergeCell ref="N254:N255"/>
    <mergeCell ref="A256:A258"/>
    <mergeCell ref="B256:B258"/>
    <mergeCell ref="C256:C258"/>
    <mergeCell ref="D256:D258"/>
    <mergeCell ref="E256:E258"/>
    <mergeCell ref="H256:H258"/>
    <mergeCell ref="I256:I258"/>
    <mergeCell ref="J256:J258"/>
    <mergeCell ref="K256:K258"/>
    <mergeCell ref="L256:L258"/>
    <mergeCell ref="M256:M258"/>
    <mergeCell ref="N256:N258"/>
    <mergeCell ref="A259:A260"/>
    <mergeCell ref="B259:B260"/>
    <mergeCell ref="C259:C260"/>
    <mergeCell ref="D259:D260"/>
    <mergeCell ref="E259:E260"/>
    <mergeCell ref="H259:H260"/>
    <mergeCell ref="I259:I260"/>
    <mergeCell ref="J259:J260"/>
    <mergeCell ref="K259:K260"/>
    <mergeCell ref="L259:L260"/>
    <mergeCell ref="M259:M260"/>
    <mergeCell ref="N259:N260"/>
    <mergeCell ref="A261:A262"/>
    <mergeCell ref="B261:B262"/>
    <mergeCell ref="C261:C262"/>
    <mergeCell ref="D261:D262"/>
    <mergeCell ref="E261:E262"/>
    <mergeCell ref="H261:H262"/>
    <mergeCell ref="I261:I262"/>
    <mergeCell ref="J261:J262"/>
    <mergeCell ref="K261:K262"/>
    <mergeCell ref="L261:L262"/>
    <mergeCell ref="M261:M262"/>
    <mergeCell ref="N261:N262"/>
    <mergeCell ref="A263:A265"/>
    <mergeCell ref="B263:B265"/>
    <mergeCell ref="C263:C265"/>
    <mergeCell ref="D263:D265"/>
    <mergeCell ref="E263:E265"/>
    <mergeCell ref="H263:H265"/>
    <mergeCell ref="I263:I265"/>
    <mergeCell ref="J263:J265"/>
    <mergeCell ref="K263:K265"/>
    <mergeCell ref="L263:L265"/>
    <mergeCell ref="M263:M265"/>
    <mergeCell ref="N263:N265"/>
    <mergeCell ref="A266:A269"/>
    <mergeCell ref="B266:B269"/>
    <mergeCell ref="C266:C269"/>
    <mergeCell ref="D266:D269"/>
    <mergeCell ref="E266:E269"/>
    <mergeCell ref="H266:H269"/>
    <mergeCell ref="I266:I269"/>
    <mergeCell ref="J266:J269"/>
    <mergeCell ref="K266:K269"/>
    <mergeCell ref="L266:L269"/>
    <mergeCell ref="M266:M269"/>
    <mergeCell ref="N266:N269"/>
    <mergeCell ref="A270:A272"/>
    <mergeCell ref="B270:B272"/>
    <mergeCell ref="C270:C272"/>
    <mergeCell ref="D270:D272"/>
    <mergeCell ref="E270:E272"/>
    <mergeCell ref="H270:H272"/>
    <mergeCell ref="I270:I272"/>
    <mergeCell ref="J270:J272"/>
    <mergeCell ref="K270:K272"/>
    <mergeCell ref="L270:L272"/>
    <mergeCell ref="M270:M272"/>
    <mergeCell ref="N270:N272"/>
    <mergeCell ref="A273:A275"/>
    <mergeCell ref="B273:B275"/>
    <mergeCell ref="C273:C275"/>
    <mergeCell ref="D273:D275"/>
    <mergeCell ref="E273:E275"/>
    <mergeCell ref="H273:H275"/>
    <mergeCell ref="I273:I275"/>
    <mergeCell ref="J273:J275"/>
    <mergeCell ref="K273:K275"/>
    <mergeCell ref="L273:L275"/>
    <mergeCell ref="M273:M275"/>
    <mergeCell ref="N273:N275"/>
    <mergeCell ref="A276:A279"/>
    <mergeCell ref="B276:B279"/>
    <mergeCell ref="C276:C279"/>
    <mergeCell ref="D276:D279"/>
    <mergeCell ref="E276:E279"/>
    <mergeCell ref="H276:H279"/>
    <mergeCell ref="I276:I279"/>
    <mergeCell ref="J276:J279"/>
    <mergeCell ref="K276:K279"/>
    <mergeCell ref="L276:L279"/>
    <mergeCell ref="M276:M279"/>
    <mergeCell ref="N276:N279"/>
    <mergeCell ref="A280:A282"/>
    <mergeCell ref="B280:B282"/>
    <mergeCell ref="C280:C282"/>
    <mergeCell ref="D280:D282"/>
    <mergeCell ref="E280:E282"/>
    <mergeCell ref="H280:H282"/>
    <mergeCell ref="I280:I282"/>
    <mergeCell ref="J280:J282"/>
    <mergeCell ref="K280:K282"/>
    <mergeCell ref="L280:L282"/>
    <mergeCell ref="M280:M282"/>
    <mergeCell ref="N280:N282"/>
    <mergeCell ref="A283:A285"/>
    <mergeCell ref="B283:B285"/>
    <mergeCell ref="C283:C285"/>
    <mergeCell ref="D283:D285"/>
    <mergeCell ref="E283:E285"/>
    <mergeCell ref="H283:H285"/>
    <mergeCell ref="I283:I285"/>
    <mergeCell ref="J283:J285"/>
    <mergeCell ref="K283:K285"/>
    <mergeCell ref="L283:L285"/>
    <mergeCell ref="M283:M285"/>
    <mergeCell ref="N283:N285"/>
    <mergeCell ref="A286:A287"/>
    <mergeCell ref="B286:B287"/>
    <mergeCell ref="C286:C287"/>
    <mergeCell ref="D286:D287"/>
    <mergeCell ref="E286:E287"/>
    <mergeCell ref="H286:H287"/>
    <mergeCell ref="I286:I287"/>
    <mergeCell ref="J286:J287"/>
    <mergeCell ref="K286:K287"/>
    <mergeCell ref="L286:L287"/>
    <mergeCell ref="M286:M287"/>
    <mergeCell ref="N286:N287"/>
    <mergeCell ref="A288:A290"/>
    <mergeCell ref="B288:B290"/>
    <mergeCell ref="C288:C290"/>
    <mergeCell ref="D288:D290"/>
    <mergeCell ref="E288:E290"/>
    <mergeCell ref="H288:H290"/>
    <mergeCell ref="I288:I290"/>
    <mergeCell ref="J288:J290"/>
    <mergeCell ref="K288:K290"/>
    <mergeCell ref="L288:L290"/>
    <mergeCell ref="M288:M290"/>
    <mergeCell ref="N288:N290"/>
    <mergeCell ref="A291:A293"/>
    <mergeCell ref="B291:B293"/>
    <mergeCell ref="C291:C293"/>
    <mergeCell ref="D291:D293"/>
    <mergeCell ref="E291:E293"/>
    <mergeCell ref="H291:H293"/>
    <mergeCell ref="I291:I293"/>
    <mergeCell ref="J291:J293"/>
    <mergeCell ref="K291:K293"/>
    <mergeCell ref="L291:L293"/>
    <mergeCell ref="M291:M293"/>
    <mergeCell ref="N291:N293"/>
    <mergeCell ref="A294:A295"/>
    <mergeCell ref="B294:B295"/>
    <mergeCell ref="C294:C295"/>
    <mergeCell ref="D294:D295"/>
    <mergeCell ref="E294:E295"/>
    <mergeCell ref="H294:H295"/>
    <mergeCell ref="I294:I295"/>
    <mergeCell ref="J294:J295"/>
    <mergeCell ref="K294:K295"/>
    <mergeCell ref="L294:L295"/>
    <mergeCell ref="M294:M295"/>
    <mergeCell ref="N294:N295"/>
    <mergeCell ref="A296:A299"/>
    <mergeCell ref="B296:B299"/>
    <mergeCell ref="C296:C299"/>
    <mergeCell ref="D296:D299"/>
    <mergeCell ref="E296:E299"/>
    <mergeCell ref="H296:H299"/>
    <mergeCell ref="I296:I299"/>
    <mergeCell ref="J296:J299"/>
    <mergeCell ref="K296:K299"/>
    <mergeCell ref="L296:L299"/>
    <mergeCell ref="M296:M299"/>
    <mergeCell ref="N296:N299"/>
    <mergeCell ref="A300:A303"/>
    <mergeCell ref="B300:B303"/>
    <mergeCell ref="C300:C303"/>
    <mergeCell ref="D300:D303"/>
    <mergeCell ref="E300:E303"/>
    <mergeCell ref="H300:H303"/>
    <mergeCell ref="I300:I303"/>
    <mergeCell ref="J300:J303"/>
    <mergeCell ref="K300:K303"/>
    <mergeCell ref="L300:L303"/>
    <mergeCell ref="M300:M303"/>
    <mergeCell ref="N300:N303"/>
    <mergeCell ref="A304:A308"/>
    <mergeCell ref="B304:B308"/>
    <mergeCell ref="C304:C308"/>
    <mergeCell ref="D304:D308"/>
    <mergeCell ref="E304:E308"/>
    <mergeCell ref="H304:H308"/>
    <mergeCell ref="I304:I308"/>
    <mergeCell ref="J304:J308"/>
    <mergeCell ref="K304:K308"/>
    <mergeCell ref="L304:L308"/>
    <mergeCell ref="M304:M308"/>
    <mergeCell ref="N304:N308"/>
    <mergeCell ref="A309:A311"/>
    <mergeCell ref="B309:B311"/>
    <mergeCell ref="C309:C311"/>
    <mergeCell ref="D309:D311"/>
    <mergeCell ref="E309:E311"/>
    <mergeCell ref="H309:H311"/>
    <mergeCell ref="I309:I311"/>
    <mergeCell ref="J309:J311"/>
    <mergeCell ref="K309:K311"/>
    <mergeCell ref="L309:L311"/>
    <mergeCell ref="M309:M311"/>
    <mergeCell ref="N309:N311"/>
    <mergeCell ref="A312:A316"/>
    <mergeCell ref="B312:B316"/>
    <mergeCell ref="C312:C316"/>
    <mergeCell ref="D312:D316"/>
    <mergeCell ref="E312:E316"/>
    <mergeCell ref="H312:H316"/>
    <mergeCell ref="I312:I316"/>
    <mergeCell ref="J312:J316"/>
    <mergeCell ref="K312:K316"/>
    <mergeCell ref="L312:L316"/>
    <mergeCell ref="M312:M316"/>
    <mergeCell ref="N312:N316"/>
    <mergeCell ref="A317:A318"/>
    <mergeCell ref="B317:B318"/>
    <mergeCell ref="C317:C318"/>
    <mergeCell ref="D317:D318"/>
    <mergeCell ref="E317:E318"/>
    <mergeCell ref="H317:H318"/>
    <mergeCell ref="I317:I318"/>
    <mergeCell ref="J317:J318"/>
    <mergeCell ref="K317:K318"/>
    <mergeCell ref="L317:L318"/>
    <mergeCell ref="M317:M318"/>
    <mergeCell ref="N317:N318"/>
    <mergeCell ref="A319:A322"/>
    <mergeCell ref="B319:B322"/>
    <mergeCell ref="C319:C322"/>
    <mergeCell ref="D319:D322"/>
    <mergeCell ref="E319:E322"/>
    <mergeCell ref="H319:H322"/>
    <mergeCell ref="I319:I322"/>
    <mergeCell ref="J319:J322"/>
    <mergeCell ref="K319:K322"/>
    <mergeCell ref="L319:L322"/>
    <mergeCell ref="M319:M322"/>
    <mergeCell ref="N319:N322"/>
    <mergeCell ref="A323:A326"/>
    <mergeCell ref="B323:B326"/>
    <mergeCell ref="C323:C326"/>
    <mergeCell ref="D323:D326"/>
    <mergeCell ref="E323:E326"/>
    <mergeCell ref="H323:H326"/>
    <mergeCell ref="I323:I326"/>
    <mergeCell ref="J323:J326"/>
    <mergeCell ref="K323:K326"/>
    <mergeCell ref="L323:L326"/>
    <mergeCell ref="M323:M326"/>
    <mergeCell ref="N323:N326"/>
    <mergeCell ref="A327:A329"/>
    <mergeCell ref="B327:B329"/>
    <mergeCell ref="C327:C329"/>
    <mergeCell ref="D327:D329"/>
    <mergeCell ref="E327:E329"/>
    <mergeCell ref="H327:H329"/>
    <mergeCell ref="I327:I329"/>
    <mergeCell ref="J327:J329"/>
    <mergeCell ref="K327:K329"/>
    <mergeCell ref="L327:L329"/>
    <mergeCell ref="M327:M329"/>
    <mergeCell ref="N327:N329"/>
    <mergeCell ref="A330:A332"/>
    <mergeCell ref="B330:B332"/>
    <mergeCell ref="C330:C332"/>
    <mergeCell ref="D330:D332"/>
    <mergeCell ref="E330:E332"/>
    <mergeCell ref="H330:H332"/>
    <mergeCell ref="I330:I332"/>
    <mergeCell ref="J330:J332"/>
    <mergeCell ref="K330:K332"/>
    <mergeCell ref="L330:L332"/>
    <mergeCell ref="M330:M332"/>
    <mergeCell ref="N330:N332"/>
    <mergeCell ref="A333:A336"/>
    <mergeCell ref="B333:B336"/>
    <mergeCell ref="C333:C336"/>
    <mergeCell ref="D333:D336"/>
    <mergeCell ref="E333:E336"/>
    <mergeCell ref="H333:H336"/>
    <mergeCell ref="I333:I336"/>
    <mergeCell ref="J333:J336"/>
    <mergeCell ref="K333:K336"/>
    <mergeCell ref="L333:L336"/>
    <mergeCell ref="M333:M336"/>
    <mergeCell ref="N333:N336"/>
    <mergeCell ref="A337:A340"/>
    <mergeCell ref="B337:B340"/>
    <mergeCell ref="C337:C340"/>
    <mergeCell ref="D337:D340"/>
    <mergeCell ref="E337:E340"/>
    <mergeCell ref="H337:H340"/>
    <mergeCell ref="I337:I340"/>
    <mergeCell ref="J337:J340"/>
    <mergeCell ref="K337:K340"/>
    <mergeCell ref="L337:L340"/>
    <mergeCell ref="M337:M340"/>
    <mergeCell ref="N337:N340"/>
    <mergeCell ref="A341:A343"/>
    <mergeCell ref="B341:B343"/>
    <mergeCell ref="C341:C343"/>
    <mergeCell ref="D341:D343"/>
    <mergeCell ref="E341:E343"/>
    <mergeCell ref="H341:H343"/>
    <mergeCell ref="I341:I343"/>
    <mergeCell ref="J341:J343"/>
    <mergeCell ref="K341:K343"/>
    <mergeCell ref="L341:L343"/>
    <mergeCell ref="M341:M343"/>
    <mergeCell ref="N341:N343"/>
    <mergeCell ref="A344:A349"/>
    <mergeCell ref="B344:B349"/>
    <mergeCell ref="C344:C349"/>
    <mergeCell ref="D344:D349"/>
    <mergeCell ref="E344:E349"/>
    <mergeCell ref="H344:H349"/>
    <mergeCell ref="I344:I349"/>
    <mergeCell ref="J344:J349"/>
    <mergeCell ref="K344:K349"/>
    <mergeCell ref="L344:L349"/>
    <mergeCell ref="M344:M349"/>
    <mergeCell ref="N344:N349"/>
  </mergeCells>
  <conditionalFormatting sqref="L2:L349">
    <cfRule type="cellIs" priority="2" operator="equal" aboveAverage="0" equalAverage="0" bottom="0" percent="0" rank="0" text="" dxfId="8">
      <formula>"Pass"</formula>
    </cfRule>
    <cfRule type="cellIs" priority="3" operator="equal" aboveAverage="0" equalAverage="0" bottom="0" percent="0" rank="0" text="" dxfId="9">
      <formula>"Fail"</formula>
    </cfRule>
    <cfRule type="cellIs" priority="4" operator="equal" aboveAverage="0" equalAverage="0" bottom="0" percent="0" rank="0" text="" dxfId="10">
      <formula>"Blocked"</formula>
    </cfRule>
  </conditionalFormatting>
  <dataValidations count="2">
    <dataValidation allowBlank="true" errorStyle="stop" operator="between" showDropDown="false" showErrorMessage="false" showInputMessage="false" sqref="L2:L349" type="list">
      <formula1>"Not Executed,Pass,Fail,Blocked,N/A"</formula1>
      <formula2>0</formula2>
    </dataValidation>
    <dataValidation allowBlank="true" errorStyle="stop" operator="between" showDropDown="false" showErrorMessage="false" showInputMessage="false" sqref="K2:K349" type="list">
      <formula1>"High,Medium,Low"</formula1>
      <formula2>0</formula2>
    </dataValidation>
  </dataValidations>
  <hyperlinks>
    <hyperlink ref="H49" r:id="rId1" display="care@bhumaewellness.com"/>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2"/>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pane xSplit="0" ySplit="1" topLeftCell="A48" activePane="bottomLeft" state="frozen"/>
      <selection pane="topLeft" activeCell="D1" activeCellId="0" sqref="D1"/>
      <selection pane="bottomLeft" activeCell="H57" activeCellId="0" sqref="H57"/>
    </sheetView>
  </sheetViews>
  <sheetFormatPr defaultColWidth="8.57421875" defaultRowHeight="15" zeroHeight="false" outlineLevelRow="0" outlineLevelCol="0"/>
  <cols>
    <col collapsed="false" customWidth="true" hidden="false" outlineLevel="0" max="1" min="1" style="1" width="15.72"/>
    <col collapsed="false" customWidth="true" hidden="false" outlineLevel="0" max="2" min="2" style="1" width="21"/>
    <col collapsed="false" customWidth="true" hidden="false" outlineLevel="0" max="3" min="3" style="1" width="22.43"/>
    <col collapsed="false" customWidth="true" hidden="false" outlineLevel="0" max="4" min="4" style="1" width="60"/>
    <col collapsed="false" customWidth="true" hidden="false" outlineLevel="0" max="5" min="5" style="1" width="9"/>
    <col collapsed="false" customWidth="true" hidden="false" outlineLevel="0" max="7" min="6" style="1" width="14.43"/>
    <col collapsed="false" customWidth="true" hidden="false" outlineLevel="0" max="8" min="8" style="1" width="27.71"/>
  </cols>
  <sheetData>
    <row r="1" customFormat="false" ht="30" hidden="false" customHeight="true" outlineLevel="0" collapsed="false">
      <c r="A1" s="9" t="s">
        <v>1070</v>
      </c>
      <c r="B1" s="9" t="s">
        <v>1071</v>
      </c>
      <c r="C1" s="9" t="s">
        <v>1072</v>
      </c>
      <c r="D1" s="9" t="s">
        <v>1073</v>
      </c>
      <c r="E1" s="9" t="s">
        <v>1074</v>
      </c>
      <c r="F1" s="9" t="s">
        <v>1075</v>
      </c>
      <c r="G1" s="9" t="s">
        <v>1076</v>
      </c>
      <c r="H1" s="9" t="s">
        <v>1077</v>
      </c>
    </row>
    <row r="2" customFormat="false" ht="15" hidden="false" customHeight="true" outlineLevel="0" collapsed="false">
      <c r="A2" s="10" t="s">
        <v>1078</v>
      </c>
      <c r="B2" s="10" t="s">
        <v>147</v>
      </c>
      <c r="C2" s="10" t="s">
        <v>149</v>
      </c>
      <c r="D2" s="10" t="s">
        <v>150</v>
      </c>
      <c r="E2" s="10" t="s">
        <v>148</v>
      </c>
      <c r="F2" s="10" t="s">
        <v>76</v>
      </c>
      <c r="G2" s="10"/>
      <c r="H2" s="10"/>
    </row>
    <row r="3" customFormat="false" ht="15" hidden="false" customHeight="true" outlineLevel="0" collapsed="false">
      <c r="A3" s="10" t="s">
        <v>1079</v>
      </c>
      <c r="B3" s="10" t="s">
        <v>161</v>
      </c>
      <c r="C3" s="10" t="s">
        <v>163</v>
      </c>
      <c r="D3" s="10" t="s">
        <v>164</v>
      </c>
      <c r="E3" s="10" t="s">
        <v>162</v>
      </c>
      <c r="F3" s="10" t="s">
        <v>78</v>
      </c>
      <c r="G3" s="10"/>
      <c r="H3" s="10"/>
    </row>
    <row r="4" customFormat="false" ht="15" hidden="false" customHeight="true" outlineLevel="0" collapsed="false">
      <c r="A4" s="10" t="s">
        <v>1080</v>
      </c>
      <c r="B4" s="10" t="s">
        <v>173</v>
      </c>
      <c r="C4" s="10" t="s">
        <v>175</v>
      </c>
      <c r="D4" s="10" t="s">
        <v>176</v>
      </c>
      <c r="E4" s="10" t="s">
        <v>174</v>
      </c>
      <c r="F4" s="10" t="s">
        <v>76</v>
      </c>
      <c r="G4" s="10"/>
      <c r="H4" s="10"/>
    </row>
    <row r="5" customFormat="false" ht="15" hidden="false" customHeight="true" outlineLevel="0" collapsed="false">
      <c r="A5" s="10" t="s">
        <v>1081</v>
      </c>
      <c r="B5" s="10" t="s">
        <v>184</v>
      </c>
      <c r="C5" s="10" t="s">
        <v>186</v>
      </c>
      <c r="D5" s="10" t="s">
        <v>187</v>
      </c>
      <c r="E5" s="10" t="s">
        <v>185</v>
      </c>
      <c r="F5" s="10" t="s">
        <v>76</v>
      </c>
      <c r="G5" s="10"/>
      <c r="H5" s="10"/>
    </row>
    <row r="6" customFormat="false" ht="15" hidden="false" customHeight="true" outlineLevel="0" collapsed="false">
      <c r="A6" s="10" t="s">
        <v>1082</v>
      </c>
      <c r="B6" s="10" t="s">
        <v>195</v>
      </c>
      <c r="C6" s="10" t="s">
        <v>186</v>
      </c>
      <c r="D6" s="10" t="s">
        <v>197</v>
      </c>
      <c r="E6" s="10" t="s">
        <v>196</v>
      </c>
      <c r="F6" s="10" t="s">
        <v>76</v>
      </c>
      <c r="G6" s="10"/>
      <c r="H6" s="10"/>
    </row>
    <row r="7" customFormat="false" ht="15" hidden="false" customHeight="true" outlineLevel="0" collapsed="false">
      <c r="A7" s="10" t="s">
        <v>1083</v>
      </c>
      <c r="B7" s="10" t="s">
        <v>203</v>
      </c>
      <c r="C7" s="10" t="s">
        <v>205</v>
      </c>
      <c r="D7" s="10" t="s">
        <v>206</v>
      </c>
      <c r="E7" s="10" t="s">
        <v>204</v>
      </c>
      <c r="F7" s="10" t="s">
        <v>76</v>
      </c>
      <c r="G7" s="10"/>
      <c r="H7" s="10"/>
    </row>
    <row r="8" customFormat="false" ht="15" hidden="false" customHeight="true" outlineLevel="0" collapsed="false">
      <c r="A8" s="10" t="s">
        <v>1084</v>
      </c>
      <c r="B8" s="10" t="s">
        <v>213</v>
      </c>
      <c r="C8" s="10" t="s">
        <v>215</v>
      </c>
      <c r="D8" s="10" t="s">
        <v>216</v>
      </c>
      <c r="E8" s="10" t="s">
        <v>214</v>
      </c>
      <c r="F8" s="10" t="s">
        <v>76</v>
      </c>
      <c r="G8" s="10"/>
      <c r="H8" s="10"/>
    </row>
    <row r="9" customFormat="false" ht="15" hidden="false" customHeight="true" outlineLevel="0" collapsed="false">
      <c r="A9" s="10" t="s">
        <v>1085</v>
      </c>
      <c r="B9" s="10" t="s">
        <v>222</v>
      </c>
      <c r="C9" s="10" t="s">
        <v>215</v>
      </c>
      <c r="D9" s="10" t="s">
        <v>224</v>
      </c>
      <c r="E9" s="10" t="s">
        <v>223</v>
      </c>
      <c r="F9" s="10" t="s">
        <v>76</v>
      </c>
      <c r="G9" s="10"/>
      <c r="H9" s="10"/>
    </row>
    <row r="10" customFormat="false" ht="15" hidden="false" customHeight="true" outlineLevel="0" collapsed="false">
      <c r="A10" s="10" t="s">
        <v>1086</v>
      </c>
      <c r="B10" s="10" t="s">
        <v>231</v>
      </c>
      <c r="C10" s="10" t="s">
        <v>215</v>
      </c>
      <c r="D10" s="10" t="s">
        <v>233</v>
      </c>
      <c r="E10" s="10" t="s">
        <v>232</v>
      </c>
      <c r="F10" s="10" t="s">
        <v>76</v>
      </c>
      <c r="G10" s="10"/>
      <c r="H10" s="10"/>
    </row>
    <row r="11" customFormat="false" ht="15" hidden="false" customHeight="true" outlineLevel="0" collapsed="false">
      <c r="A11" s="10" t="s">
        <v>1087</v>
      </c>
      <c r="B11" s="10" t="s">
        <v>237</v>
      </c>
      <c r="C11" s="10" t="s">
        <v>239</v>
      </c>
      <c r="D11" s="10" t="s">
        <v>240</v>
      </c>
      <c r="E11" s="10" t="s">
        <v>238</v>
      </c>
      <c r="F11" s="10" t="s">
        <v>76</v>
      </c>
      <c r="G11" s="10"/>
      <c r="H11" s="10"/>
    </row>
    <row r="12" customFormat="false" ht="15" hidden="false" customHeight="true" outlineLevel="0" collapsed="false">
      <c r="A12" s="10" t="s">
        <v>1088</v>
      </c>
      <c r="B12" s="10" t="s">
        <v>245</v>
      </c>
      <c r="C12" s="10" t="s">
        <v>247</v>
      </c>
      <c r="D12" s="10" t="s">
        <v>248</v>
      </c>
      <c r="E12" s="10" t="s">
        <v>246</v>
      </c>
      <c r="F12" s="10" t="s">
        <v>76</v>
      </c>
      <c r="G12" s="10"/>
      <c r="H12" s="10"/>
    </row>
    <row r="13" customFormat="false" ht="15" hidden="false" customHeight="true" outlineLevel="0" collapsed="false">
      <c r="A13" s="10" t="s">
        <v>1089</v>
      </c>
      <c r="B13" s="10" t="s">
        <v>258</v>
      </c>
      <c r="C13" s="10" t="s">
        <v>260</v>
      </c>
      <c r="D13" s="10" t="s">
        <v>261</v>
      </c>
      <c r="E13" s="10" t="s">
        <v>259</v>
      </c>
      <c r="F13" s="10" t="s">
        <v>76</v>
      </c>
      <c r="G13" s="10"/>
      <c r="H13" s="10"/>
    </row>
    <row r="14" customFormat="false" ht="15" hidden="false" customHeight="true" outlineLevel="0" collapsed="false">
      <c r="A14" s="10" t="s">
        <v>1090</v>
      </c>
      <c r="B14" s="10" t="s">
        <v>269</v>
      </c>
      <c r="C14" s="10" t="s">
        <v>239</v>
      </c>
      <c r="D14" s="10" t="s">
        <v>271</v>
      </c>
      <c r="E14" s="10" t="s">
        <v>270</v>
      </c>
      <c r="F14" s="10" t="s">
        <v>76</v>
      </c>
      <c r="G14" s="10"/>
      <c r="H14" s="10"/>
    </row>
    <row r="15" customFormat="false" ht="15" hidden="false" customHeight="true" outlineLevel="0" collapsed="false">
      <c r="A15" s="10" t="s">
        <v>1091</v>
      </c>
      <c r="B15" s="10" t="s">
        <v>277</v>
      </c>
      <c r="C15" s="10" t="s">
        <v>279</v>
      </c>
      <c r="D15" s="10" t="s">
        <v>280</v>
      </c>
      <c r="E15" s="10" t="s">
        <v>278</v>
      </c>
      <c r="F15" s="10" t="s">
        <v>76</v>
      </c>
      <c r="G15" s="10"/>
      <c r="H15" s="10"/>
    </row>
    <row r="16" customFormat="false" ht="15" hidden="false" customHeight="true" outlineLevel="0" collapsed="false">
      <c r="A16" s="10" t="s">
        <v>1092</v>
      </c>
      <c r="B16" s="10" t="s">
        <v>288</v>
      </c>
      <c r="C16" s="10" t="s">
        <v>87</v>
      </c>
      <c r="D16" s="10" t="s">
        <v>290</v>
      </c>
      <c r="E16" s="10" t="s">
        <v>289</v>
      </c>
      <c r="F16" s="10" t="s">
        <v>76</v>
      </c>
      <c r="G16" s="10"/>
      <c r="H16" s="10"/>
    </row>
    <row r="17" customFormat="false" ht="15" hidden="false" customHeight="true" outlineLevel="0" collapsed="false">
      <c r="A17" s="10" t="s">
        <v>1093</v>
      </c>
      <c r="B17" s="10" t="s">
        <v>297</v>
      </c>
      <c r="C17" s="10" t="s">
        <v>87</v>
      </c>
      <c r="D17" s="10" t="s">
        <v>299</v>
      </c>
      <c r="E17" s="10" t="s">
        <v>298</v>
      </c>
      <c r="F17" s="10" t="s">
        <v>76</v>
      </c>
      <c r="G17" s="10"/>
      <c r="H17" s="10"/>
    </row>
    <row r="18" customFormat="false" ht="15" hidden="false" customHeight="true" outlineLevel="0" collapsed="false">
      <c r="A18" s="10" t="s">
        <v>1094</v>
      </c>
      <c r="B18" s="10" t="s">
        <v>304</v>
      </c>
      <c r="C18" s="10" t="s">
        <v>306</v>
      </c>
      <c r="D18" s="10" t="s">
        <v>307</v>
      </c>
      <c r="E18" s="10" t="s">
        <v>305</v>
      </c>
      <c r="F18" s="10" t="s">
        <v>76</v>
      </c>
      <c r="G18" s="10"/>
      <c r="H18" s="10"/>
    </row>
    <row r="19" customFormat="false" ht="15" hidden="false" customHeight="true" outlineLevel="0" collapsed="false">
      <c r="A19" s="10" t="s">
        <v>1095</v>
      </c>
      <c r="B19" s="10" t="s">
        <v>314</v>
      </c>
      <c r="C19" s="10" t="s">
        <v>306</v>
      </c>
      <c r="D19" s="10" t="s">
        <v>316</v>
      </c>
      <c r="E19" s="10" t="s">
        <v>315</v>
      </c>
      <c r="F19" s="10" t="s">
        <v>76</v>
      </c>
      <c r="G19" s="10"/>
      <c r="H19" s="10"/>
    </row>
    <row r="20" customFormat="false" ht="15" hidden="false" customHeight="true" outlineLevel="0" collapsed="false">
      <c r="A20" s="10" t="s">
        <v>1096</v>
      </c>
      <c r="B20" s="10" t="s">
        <v>331</v>
      </c>
      <c r="C20" s="10" t="s">
        <v>333</v>
      </c>
      <c r="D20" s="10" t="s">
        <v>334</v>
      </c>
      <c r="E20" s="10" t="s">
        <v>332</v>
      </c>
      <c r="F20" s="10" t="s">
        <v>76</v>
      </c>
      <c r="G20" s="10"/>
      <c r="H20" s="10"/>
    </row>
    <row r="21" customFormat="false" ht="15" hidden="false" customHeight="true" outlineLevel="0" collapsed="false">
      <c r="A21" s="10" t="s">
        <v>1097</v>
      </c>
      <c r="B21" s="10" t="s">
        <v>341</v>
      </c>
      <c r="C21" s="10" t="s">
        <v>343</v>
      </c>
      <c r="D21" s="10" t="s">
        <v>344</v>
      </c>
      <c r="E21" s="10" t="s">
        <v>342</v>
      </c>
      <c r="F21" s="10" t="s">
        <v>76</v>
      </c>
      <c r="G21" s="10"/>
      <c r="H21" s="10"/>
    </row>
    <row r="22" customFormat="false" ht="15" hidden="false" customHeight="true" outlineLevel="0" collapsed="false">
      <c r="A22" s="10" t="s">
        <v>1098</v>
      </c>
      <c r="B22" s="10" t="s">
        <v>351</v>
      </c>
      <c r="C22" s="10" t="s">
        <v>353</v>
      </c>
      <c r="D22" s="10" t="s">
        <v>354</v>
      </c>
      <c r="E22" s="10" t="s">
        <v>352</v>
      </c>
      <c r="F22" s="10" t="s">
        <v>76</v>
      </c>
      <c r="G22" s="10"/>
      <c r="H22" s="10"/>
    </row>
    <row r="23" customFormat="false" ht="15" hidden="false" customHeight="true" outlineLevel="0" collapsed="false">
      <c r="A23" s="10" t="s">
        <v>1099</v>
      </c>
      <c r="B23" s="10" t="s">
        <v>359</v>
      </c>
      <c r="C23" s="10" t="s">
        <v>361</v>
      </c>
      <c r="D23" s="10" t="s">
        <v>362</v>
      </c>
      <c r="E23" s="10" t="s">
        <v>360</v>
      </c>
      <c r="F23" s="10" t="s">
        <v>76</v>
      </c>
      <c r="G23" s="10"/>
      <c r="H23" s="10"/>
    </row>
    <row r="24" customFormat="false" ht="15" hidden="false" customHeight="true" outlineLevel="0" collapsed="false">
      <c r="A24" s="10" t="s">
        <v>1100</v>
      </c>
      <c r="B24" s="10" t="s">
        <v>378</v>
      </c>
      <c r="C24" s="10" t="s">
        <v>380</v>
      </c>
      <c r="D24" s="10" t="s">
        <v>381</v>
      </c>
      <c r="E24" s="10" t="s">
        <v>379</v>
      </c>
      <c r="F24" s="10" t="s">
        <v>76</v>
      </c>
      <c r="G24" s="10"/>
      <c r="H24" s="10"/>
    </row>
    <row r="25" customFormat="false" ht="15" hidden="false" customHeight="true" outlineLevel="0" collapsed="false">
      <c r="A25" s="10" t="s">
        <v>1101</v>
      </c>
      <c r="B25" s="10" t="s">
        <v>387</v>
      </c>
      <c r="C25" s="10" t="s">
        <v>389</v>
      </c>
      <c r="D25" s="10" t="s">
        <v>390</v>
      </c>
      <c r="E25" s="10" t="s">
        <v>388</v>
      </c>
      <c r="F25" s="10" t="s">
        <v>76</v>
      </c>
      <c r="G25" s="10"/>
      <c r="H25" s="10"/>
    </row>
    <row r="26" customFormat="false" ht="15" hidden="false" customHeight="true" outlineLevel="0" collapsed="false">
      <c r="A26" s="10" t="s">
        <v>1102</v>
      </c>
      <c r="B26" s="10" t="s">
        <v>396</v>
      </c>
      <c r="C26" s="10" t="s">
        <v>389</v>
      </c>
      <c r="D26" s="10" t="s">
        <v>398</v>
      </c>
      <c r="E26" s="10" t="s">
        <v>397</v>
      </c>
      <c r="F26" s="10" t="s">
        <v>76</v>
      </c>
      <c r="G26" s="10"/>
      <c r="H26" s="10"/>
    </row>
    <row r="27" customFormat="false" ht="15" hidden="false" customHeight="true" outlineLevel="0" collapsed="false">
      <c r="A27" s="10" t="s">
        <v>1103</v>
      </c>
      <c r="B27" s="10" t="s">
        <v>422</v>
      </c>
      <c r="C27" s="10" t="s">
        <v>424</v>
      </c>
      <c r="D27" s="10" t="s">
        <v>425</v>
      </c>
      <c r="E27" s="10" t="s">
        <v>423</v>
      </c>
      <c r="F27" s="10" t="s">
        <v>76</v>
      </c>
      <c r="G27" s="10"/>
      <c r="H27" s="10"/>
    </row>
    <row r="28" customFormat="false" ht="15" hidden="false" customHeight="true" outlineLevel="0" collapsed="false">
      <c r="A28" s="10" t="s">
        <v>1104</v>
      </c>
      <c r="B28" s="10" t="s">
        <v>442</v>
      </c>
      <c r="C28" s="10" t="s">
        <v>444</v>
      </c>
      <c r="D28" s="10" t="s">
        <v>445</v>
      </c>
      <c r="E28" s="10" t="s">
        <v>443</v>
      </c>
      <c r="F28" s="10" t="s">
        <v>77</v>
      </c>
      <c r="G28" s="10"/>
      <c r="H28" s="10"/>
    </row>
    <row r="29" customFormat="false" ht="15" hidden="false" customHeight="true" outlineLevel="0" collapsed="false">
      <c r="A29" s="10" t="s">
        <v>1105</v>
      </c>
      <c r="B29" s="10" t="s">
        <v>452</v>
      </c>
      <c r="C29" s="10" t="s">
        <v>454</v>
      </c>
      <c r="D29" s="10" t="s">
        <v>455</v>
      </c>
      <c r="E29" s="10" t="s">
        <v>453</v>
      </c>
      <c r="F29" s="10" t="s">
        <v>76</v>
      </c>
      <c r="G29" s="10"/>
      <c r="H29" s="10"/>
    </row>
    <row r="30" customFormat="false" ht="15" hidden="false" customHeight="true" outlineLevel="0" collapsed="false">
      <c r="A30" s="10" t="s">
        <v>1106</v>
      </c>
      <c r="B30" s="10" t="s">
        <v>459</v>
      </c>
      <c r="C30" s="10" t="s">
        <v>461</v>
      </c>
      <c r="D30" s="10" t="s">
        <v>462</v>
      </c>
      <c r="E30" s="10" t="s">
        <v>460</v>
      </c>
      <c r="F30" s="10" t="s">
        <v>76</v>
      </c>
      <c r="G30" s="10"/>
      <c r="H30" s="10"/>
    </row>
    <row r="31" customFormat="false" ht="15" hidden="false" customHeight="true" outlineLevel="0" collapsed="false">
      <c r="A31" s="10" t="s">
        <v>1107</v>
      </c>
      <c r="B31" s="10" t="s">
        <v>474</v>
      </c>
      <c r="C31" s="10" t="s">
        <v>149</v>
      </c>
      <c r="D31" s="10" t="s">
        <v>476</v>
      </c>
      <c r="E31" s="10" t="s">
        <v>475</v>
      </c>
      <c r="F31" s="10" t="s">
        <v>76</v>
      </c>
      <c r="G31" s="10"/>
      <c r="H31" s="10"/>
    </row>
    <row r="32" s="19" customFormat="true" ht="45" hidden="false" customHeight="true" outlineLevel="0" collapsed="false">
      <c r="A32" s="22" t="s">
        <v>1108</v>
      </c>
      <c r="B32" s="22" t="s">
        <v>492</v>
      </c>
      <c r="C32" s="22" t="s">
        <v>93</v>
      </c>
      <c r="D32" s="22" t="s">
        <v>493</v>
      </c>
      <c r="E32" s="22" t="s">
        <v>475</v>
      </c>
      <c r="F32" s="22" t="s">
        <v>76</v>
      </c>
      <c r="G32" s="22"/>
      <c r="H32" s="22" t="s">
        <v>1109</v>
      </c>
    </row>
    <row r="33" customFormat="false" ht="15" hidden="false" customHeight="true" outlineLevel="0" collapsed="false">
      <c r="A33" s="10" t="s">
        <v>1110</v>
      </c>
      <c r="B33" s="10" t="s">
        <v>500</v>
      </c>
      <c r="C33" s="10" t="s">
        <v>93</v>
      </c>
      <c r="D33" s="10" t="s">
        <v>501</v>
      </c>
      <c r="E33" s="10" t="s">
        <v>475</v>
      </c>
      <c r="F33" s="10" t="s">
        <v>76</v>
      </c>
      <c r="G33" s="10"/>
      <c r="H33" s="10"/>
    </row>
    <row r="34" customFormat="false" ht="15" hidden="false" customHeight="true" outlineLevel="0" collapsed="false">
      <c r="A34" s="10" t="s">
        <v>1111</v>
      </c>
      <c r="B34" s="10" t="s">
        <v>536</v>
      </c>
      <c r="C34" s="10" t="s">
        <v>537</v>
      </c>
      <c r="D34" s="10" t="s">
        <v>538</v>
      </c>
      <c r="E34" s="10" t="s">
        <v>475</v>
      </c>
      <c r="F34" s="10" t="s">
        <v>76</v>
      </c>
      <c r="G34" s="10"/>
      <c r="H34" s="10"/>
    </row>
    <row r="35" customFormat="false" ht="15" hidden="false" customHeight="true" outlineLevel="0" collapsed="false">
      <c r="A35" s="10" t="s">
        <v>1112</v>
      </c>
      <c r="B35" s="10" t="s">
        <v>565</v>
      </c>
      <c r="C35" s="10" t="s">
        <v>186</v>
      </c>
      <c r="D35" s="10" t="s">
        <v>566</v>
      </c>
      <c r="E35" s="10" t="s">
        <v>475</v>
      </c>
      <c r="F35" s="10" t="s">
        <v>76</v>
      </c>
      <c r="G35" s="10"/>
      <c r="H35" s="10"/>
    </row>
    <row r="36" customFormat="false" ht="15" hidden="false" customHeight="true" outlineLevel="0" collapsed="false">
      <c r="A36" s="10" t="s">
        <v>1113</v>
      </c>
      <c r="B36" s="10" t="s">
        <v>570</v>
      </c>
      <c r="C36" s="10" t="s">
        <v>186</v>
      </c>
      <c r="D36" s="10" t="s">
        <v>571</v>
      </c>
      <c r="E36" s="10" t="s">
        <v>475</v>
      </c>
      <c r="F36" s="10" t="s">
        <v>76</v>
      </c>
      <c r="G36" s="10"/>
      <c r="H36" s="10"/>
    </row>
    <row r="37" customFormat="false" ht="15" hidden="false" customHeight="true" outlineLevel="0" collapsed="false">
      <c r="A37" s="10" t="s">
        <v>1114</v>
      </c>
      <c r="B37" s="10" t="s">
        <v>612</v>
      </c>
      <c r="C37" s="10" t="s">
        <v>205</v>
      </c>
      <c r="D37" s="10" t="s">
        <v>613</v>
      </c>
      <c r="E37" s="10" t="s">
        <v>475</v>
      </c>
      <c r="F37" s="10" t="s">
        <v>77</v>
      </c>
      <c r="G37" s="10"/>
      <c r="H37" s="10"/>
    </row>
    <row r="38" customFormat="false" ht="15" hidden="false" customHeight="true" outlineLevel="0" collapsed="false">
      <c r="A38" s="10" t="s">
        <v>1115</v>
      </c>
      <c r="B38" s="10" t="s">
        <v>620</v>
      </c>
      <c r="C38" s="10" t="s">
        <v>205</v>
      </c>
      <c r="D38" s="10" t="s">
        <v>621</v>
      </c>
      <c r="E38" s="10" t="s">
        <v>475</v>
      </c>
      <c r="F38" s="10" t="s">
        <v>77</v>
      </c>
      <c r="G38" s="10"/>
      <c r="H38" s="10"/>
    </row>
    <row r="39" customFormat="false" ht="15" hidden="false" customHeight="true" outlineLevel="0" collapsed="false">
      <c r="A39" s="10" t="s">
        <v>1116</v>
      </c>
      <c r="B39" s="10" t="s">
        <v>627</v>
      </c>
      <c r="C39" s="10" t="s">
        <v>205</v>
      </c>
      <c r="D39" s="10" t="s">
        <v>628</v>
      </c>
      <c r="E39" s="10" t="s">
        <v>475</v>
      </c>
      <c r="F39" s="10" t="s">
        <v>76</v>
      </c>
      <c r="G39" s="10"/>
      <c r="H39" s="10"/>
    </row>
    <row r="40" customFormat="false" ht="15" hidden="false" customHeight="true" outlineLevel="0" collapsed="false">
      <c r="A40" s="10" t="s">
        <v>1117</v>
      </c>
      <c r="B40" s="10" t="s">
        <v>635</v>
      </c>
      <c r="C40" s="10" t="s">
        <v>205</v>
      </c>
      <c r="D40" s="10" t="s">
        <v>636</v>
      </c>
      <c r="E40" s="10" t="s">
        <v>475</v>
      </c>
      <c r="F40" s="10" t="s">
        <v>76</v>
      </c>
      <c r="G40" s="10"/>
      <c r="H40" s="10"/>
    </row>
    <row r="41" customFormat="false" ht="15" hidden="false" customHeight="true" outlineLevel="0" collapsed="false">
      <c r="A41" s="10" t="s">
        <v>1118</v>
      </c>
      <c r="B41" s="10" t="s">
        <v>663</v>
      </c>
      <c r="C41" s="10" t="s">
        <v>205</v>
      </c>
      <c r="D41" s="10" t="s">
        <v>664</v>
      </c>
      <c r="E41" s="10" t="s">
        <v>475</v>
      </c>
      <c r="F41" s="10" t="s">
        <v>77</v>
      </c>
      <c r="G41" s="10"/>
      <c r="H41" s="10"/>
    </row>
    <row r="42" customFormat="false" ht="15" hidden="false" customHeight="true" outlineLevel="0" collapsed="false">
      <c r="A42" s="10" t="s">
        <v>1119</v>
      </c>
      <c r="B42" s="10" t="s">
        <v>670</v>
      </c>
      <c r="C42" s="10" t="s">
        <v>671</v>
      </c>
      <c r="D42" s="10" t="s">
        <v>672</v>
      </c>
      <c r="E42" s="10" t="s">
        <v>475</v>
      </c>
      <c r="F42" s="10" t="s">
        <v>76</v>
      </c>
      <c r="G42" s="10"/>
      <c r="H42" s="10"/>
    </row>
    <row r="43" customFormat="false" ht="15" hidden="false" customHeight="true" outlineLevel="0" collapsed="false">
      <c r="A43" s="10" t="s">
        <v>1120</v>
      </c>
      <c r="B43" s="10" t="s">
        <v>677</v>
      </c>
      <c r="C43" s="10" t="s">
        <v>671</v>
      </c>
      <c r="D43" s="10" t="s">
        <v>678</v>
      </c>
      <c r="E43" s="10" t="s">
        <v>475</v>
      </c>
      <c r="F43" s="10" t="s">
        <v>76</v>
      </c>
      <c r="G43" s="10"/>
      <c r="H43" s="10"/>
    </row>
    <row r="44" customFormat="false" ht="15" hidden="false" customHeight="true" outlineLevel="0" collapsed="false">
      <c r="A44" s="10" t="s">
        <v>1121</v>
      </c>
      <c r="B44" s="10" t="s">
        <v>685</v>
      </c>
      <c r="C44" s="10" t="s">
        <v>671</v>
      </c>
      <c r="D44" s="10" t="s">
        <v>686</v>
      </c>
      <c r="E44" s="10" t="s">
        <v>475</v>
      </c>
      <c r="F44" s="10" t="s">
        <v>76</v>
      </c>
      <c r="G44" s="10"/>
      <c r="H44" s="10"/>
    </row>
    <row r="45" customFormat="false" ht="15" hidden="false" customHeight="true" outlineLevel="0" collapsed="false">
      <c r="A45" s="10" t="s">
        <v>1122</v>
      </c>
      <c r="B45" s="10" t="s">
        <v>699</v>
      </c>
      <c r="C45" s="10" t="s">
        <v>260</v>
      </c>
      <c r="D45" s="10" t="s">
        <v>700</v>
      </c>
      <c r="E45" s="10" t="s">
        <v>475</v>
      </c>
      <c r="F45" s="10" t="s">
        <v>76</v>
      </c>
      <c r="G45" s="10"/>
      <c r="H45" s="10"/>
    </row>
    <row r="46" customFormat="false" ht="15" hidden="false" customHeight="true" outlineLevel="0" collapsed="false">
      <c r="A46" s="10" t="s">
        <v>1123</v>
      </c>
      <c r="B46" s="10" t="s">
        <v>707</v>
      </c>
      <c r="C46" s="10" t="s">
        <v>260</v>
      </c>
      <c r="D46" s="10" t="s">
        <v>708</v>
      </c>
      <c r="E46" s="10" t="s">
        <v>475</v>
      </c>
      <c r="F46" s="10" t="s">
        <v>76</v>
      </c>
      <c r="G46" s="10"/>
      <c r="H46" s="10"/>
    </row>
    <row r="47" customFormat="false" ht="15" hidden="false" customHeight="true" outlineLevel="0" collapsed="false">
      <c r="A47" s="10" t="s">
        <v>1124</v>
      </c>
      <c r="B47" s="10" t="s">
        <v>714</v>
      </c>
      <c r="C47" s="10" t="s">
        <v>87</v>
      </c>
      <c r="D47" s="10" t="s">
        <v>715</v>
      </c>
      <c r="E47" s="10" t="s">
        <v>475</v>
      </c>
      <c r="F47" s="10" t="s">
        <v>76</v>
      </c>
      <c r="G47" s="10"/>
      <c r="H47" s="10"/>
    </row>
    <row r="48" customFormat="false" ht="15" hidden="false" customHeight="true" outlineLevel="0" collapsed="false">
      <c r="A48" s="10" t="s">
        <v>1125</v>
      </c>
      <c r="B48" s="10" t="s">
        <v>722</v>
      </c>
      <c r="C48" s="10" t="s">
        <v>306</v>
      </c>
      <c r="D48" s="10" t="s">
        <v>723</v>
      </c>
      <c r="E48" s="10" t="s">
        <v>475</v>
      </c>
      <c r="F48" s="10" t="s">
        <v>76</v>
      </c>
      <c r="G48" s="10"/>
      <c r="H48" s="10"/>
    </row>
    <row r="49" customFormat="false" ht="15" hidden="false" customHeight="true" outlineLevel="0" collapsed="false">
      <c r="A49" s="10" t="s">
        <v>1126</v>
      </c>
      <c r="B49" s="10" t="s">
        <v>744</v>
      </c>
      <c r="C49" s="10" t="s">
        <v>745</v>
      </c>
      <c r="D49" s="10" t="s">
        <v>746</v>
      </c>
      <c r="E49" s="10" t="s">
        <v>475</v>
      </c>
      <c r="F49" s="10" t="s">
        <v>77</v>
      </c>
      <c r="G49" s="10"/>
      <c r="H49" s="10"/>
    </row>
    <row r="50" customFormat="false" ht="15" hidden="false" customHeight="true" outlineLevel="0" collapsed="false">
      <c r="A50" s="10" t="s">
        <v>1127</v>
      </c>
      <c r="B50" s="10" t="s">
        <v>754</v>
      </c>
      <c r="C50" s="10" t="s">
        <v>389</v>
      </c>
      <c r="D50" s="10" t="s">
        <v>755</v>
      </c>
      <c r="E50" s="10" t="s">
        <v>475</v>
      </c>
      <c r="F50" s="10" t="s">
        <v>77</v>
      </c>
      <c r="G50" s="10"/>
      <c r="H50" s="10"/>
    </row>
    <row r="51" customFormat="false" ht="15" hidden="false" customHeight="true" outlineLevel="0" collapsed="false">
      <c r="A51" s="10" t="s">
        <v>1128</v>
      </c>
      <c r="B51" s="10" t="s">
        <v>783</v>
      </c>
      <c r="C51" s="10" t="s">
        <v>361</v>
      </c>
      <c r="D51" s="10" t="s">
        <v>784</v>
      </c>
      <c r="E51" s="10" t="s">
        <v>475</v>
      </c>
      <c r="F51" s="10" t="s">
        <v>76</v>
      </c>
      <c r="G51" s="10"/>
      <c r="H51" s="10"/>
    </row>
    <row r="52" customFormat="false" ht="15" hidden="false" customHeight="true" outlineLevel="0" collapsed="false">
      <c r="A52" s="10" t="s">
        <v>1129</v>
      </c>
      <c r="B52" s="10" t="s">
        <v>798</v>
      </c>
      <c r="C52" s="10" t="s">
        <v>96</v>
      </c>
      <c r="D52" s="10" t="s">
        <v>799</v>
      </c>
      <c r="E52" s="10" t="s">
        <v>475</v>
      </c>
      <c r="F52" s="10" t="s">
        <v>77</v>
      </c>
      <c r="G52" s="10"/>
      <c r="H52" s="10"/>
    </row>
    <row r="53" customFormat="false" ht="15" hidden="false" customHeight="true" outlineLevel="0" collapsed="false">
      <c r="A53" s="10" t="s">
        <v>1130</v>
      </c>
      <c r="B53" s="10" t="s">
        <v>805</v>
      </c>
      <c r="C53" s="10" t="s">
        <v>806</v>
      </c>
      <c r="D53" s="10" t="s">
        <v>807</v>
      </c>
      <c r="E53" s="10" t="s">
        <v>475</v>
      </c>
      <c r="F53" s="10" t="s">
        <v>76</v>
      </c>
      <c r="G53" s="10"/>
      <c r="H53" s="10"/>
    </row>
    <row r="54" customFormat="false" ht="15" hidden="false" customHeight="true" outlineLevel="0" collapsed="false">
      <c r="A54" s="10" t="s">
        <v>1131</v>
      </c>
      <c r="B54" s="10" t="s">
        <v>873</v>
      </c>
      <c r="C54" s="10" t="s">
        <v>874</v>
      </c>
      <c r="D54" s="10" t="s">
        <v>875</v>
      </c>
      <c r="E54" s="10" t="s">
        <v>475</v>
      </c>
      <c r="F54" s="10" t="s">
        <v>76</v>
      </c>
      <c r="G54" s="10"/>
      <c r="H54" s="10"/>
    </row>
    <row r="55" customFormat="false" ht="15" hidden="false" customHeight="true" outlineLevel="0" collapsed="false">
      <c r="A55" s="10" t="s">
        <v>1132</v>
      </c>
      <c r="B55" s="10" t="s">
        <v>883</v>
      </c>
      <c r="C55" s="10" t="s">
        <v>186</v>
      </c>
      <c r="D55" s="10" t="s">
        <v>884</v>
      </c>
      <c r="E55" s="10" t="s">
        <v>475</v>
      </c>
      <c r="F55" s="10" t="s">
        <v>76</v>
      </c>
      <c r="G55" s="10"/>
      <c r="H55" s="10"/>
    </row>
    <row r="56" customFormat="false" ht="15" hidden="false" customHeight="true" outlineLevel="0" collapsed="false">
      <c r="A56" s="10" t="s">
        <v>1133</v>
      </c>
      <c r="B56" s="10" t="s">
        <v>906</v>
      </c>
      <c r="C56" s="10" t="s">
        <v>175</v>
      </c>
      <c r="D56" s="10" t="s">
        <v>907</v>
      </c>
      <c r="E56" s="10" t="s">
        <v>475</v>
      </c>
      <c r="F56" s="10" t="s">
        <v>77</v>
      </c>
      <c r="G56" s="10"/>
      <c r="H56" s="10"/>
    </row>
    <row r="57" customFormat="false" ht="15" hidden="false" customHeight="true" outlineLevel="0" collapsed="false">
      <c r="A57" s="10" t="s">
        <v>1134</v>
      </c>
      <c r="B57" s="10" t="s">
        <v>941</v>
      </c>
      <c r="C57" s="10" t="s">
        <v>942</v>
      </c>
      <c r="D57" s="10" t="s">
        <v>943</v>
      </c>
      <c r="E57" s="10" t="s">
        <v>475</v>
      </c>
      <c r="F57" s="10" t="s">
        <v>76</v>
      </c>
      <c r="G57" s="10"/>
      <c r="H57" s="10"/>
    </row>
    <row r="58" customFormat="false" ht="15" hidden="false" customHeight="true" outlineLevel="0" collapsed="false">
      <c r="A58" s="10" t="s">
        <v>1135</v>
      </c>
      <c r="B58" s="10" t="s">
        <v>980</v>
      </c>
      <c r="C58" s="10" t="s">
        <v>389</v>
      </c>
      <c r="D58" s="10" t="s">
        <v>981</v>
      </c>
      <c r="E58" s="10" t="s">
        <v>475</v>
      </c>
      <c r="F58" s="10" t="s">
        <v>76</v>
      </c>
      <c r="G58" s="10"/>
      <c r="H58" s="10"/>
    </row>
    <row r="59" customFormat="false" ht="30" hidden="false" customHeight="true" outlineLevel="0" collapsed="false">
      <c r="A59" s="10" t="s">
        <v>1136</v>
      </c>
      <c r="B59" s="10" t="s">
        <v>997</v>
      </c>
      <c r="C59" s="10" t="s">
        <v>998</v>
      </c>
      <c r="D59" s="10" t="s">
        <v>999</v>
      </c>
      <c r="E59" s="10" t="s">
        <v>475</v>
      </c>
      <c r="F59" s="10" t="s">
        <v>78</v>
      </c>
      <c r="G59" s="10"/>
      <c r="H59" s="10"/>
    </row>
    <row r="60" customFormat="false" ht="30" hidden="false" customHeight="true" outlineLevel="0" collapsed="false">
      <c r="A60" s="10" t="s">
        <v>1137</v>
      </c>
      <c r="B60" s="10" t="s">
        <v>1024</v>
      </c>
      <c r="C60" s="10" t="s">
        <v>215</v>
      </c>
      <c r="D60" s="10" t="s">
        <v>1025</v>
      </c>
      <c r="E60" s="10" t="s">
        <v>475</v>
      </c>
      <c r="F60" s="10" t="s">
        <v>77</v>
      </c>
      <c r="G60" s="10"/>
      <c r="H60" s="10"/>
    </row>
    <row r="61" customFormat="false" ht="30" hidden="false" customHeight="true" outlineLevel="0" collapsed="false">
      <c r="A61" s="10" t="s">
        <v>1138</v>
      </c>
      <c r="B61" s="10" t="s">
        <v>1042</v>
      </c>
      <c r="C61" s="10" t="s">
        <v>260</v>
      </c>
      <c r="D61" s="10" t="s">
        <v>1043</v>
      </c>
      <c r="E61" s="10" t="s">
        <v>475</v>
      </c>
      <c r="F61" s="10" t="s">
        <v>76</v>
      </c>
      <c r="G61" s="10"/>
      <c r="H61" s="10"/>
    </row>
    <row r="62" customFormat="false" ht="15" hidden="false" customHeight="true" outlineLevel="0" collapsed="false">
      <c r="A62" s="10" t="s">
        <v>1139</v>
      </c>
      <c r="B62" s="10" t="s">
        <v>1060</v>
      </c>
      <c r="C62" s="10" t="s">
        <v>424</v>
      </c>
      <c r="D62" s="10" t="s">
        <v>1061</v>
      </c>
      <c r="E62" s="10" t="s">
        <v>475</v>
      </c>
      <c r="F62" s="10" t="s">
        <v>76</v>
      </c>
      <c r="G62" s="10"/>
      <c r="H62" s="10"/>
    </row>
  </sheetData>
  <autoFilter ref="A1:H62"/>
  <dataValidations count="1">
    <dataValidation allowBlank="true" errorStyle="stop" operator="between" showDropDown="false" showErrorMessage="false" showInputMessage="false" sqref="F2:G62" type="list">
      <formula1>"Not Executed,Pass,Fail,Blocked"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2026-10-09T16:26:27Z</dcterms:created>
  <dc:creator>KULDEEP TIRU</dc:creator>
  <dc:description/>
  <dc:language>en-US</dc:language>
  <cp:lastModifiedBy>KULDEEP TIRU</cp:lastModifiedBy>
  <dcterms:modified xsi:type="dcterms:W3CDTF">2026-10-17T08:11:01Z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